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V\Grad CV\Projects\"/>
    </mc:Choice>
  </mc:AlternateContent>
  <xr:revisionPtr revIDLastSave="0" documentId="8_{63ABD547-9D68-423F-8A0A-FF46DD24480F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Raw_Data" sheetId="2" r:id="rId1"/>
    <sheet name="Data_Cleaning" sheetId="3" r:id="rId2"/>
    <sheet name="KPIs" sheetId="4" r:id="rId3"/>
    <sheet name="Analysis" sheetId="5" r:id="rId4"/>
    <sheet name="Forecast" sheetId="6" r:id="rId5"/>
    <sheet name="Scenario_Model" sheetId="7" r:id="rId6"/>
    <sheet name="Dashboard" sheetId="8" r:id="rId7"/>
    <sheet name="List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7" l="1"/>
  <c r="M17" i="3"/>
  <c r="A21" i="8"/>
  <c r="A20" i="8"/>
  <c r="A19" i="8"/>
  <c r="A18" i="8"/>
  <c r="A17" i="8"/>
  <c r="A16" i="8"/>
  <c r="J15" i="8"/>
  <c r="I15" i="8"/>
  <c r="A15" i="8"/>
  <c r="J14" i="8"/>
  <c r="I14" i="8"/>
  <c r="A14" i="8"/>
  <c r="J13" i="8"/>
  <c r="I13" i="8"/>
  <c r="E13" i="8"/>
  <c r="A13" i="8"/>
  <c r="J12" i="8"/>
  <c r="I12" i="8"/>
  <c r="E12" i="8"/>
  <c r="A12" i="8"/>
  <c r="J11" i="8"/>
  <c r="I11" i="8"/>
  <c r="E11" i="8"/>
  <c r="A11" i="8"/>
  <c r="J10" i="8"/>
  <c r="I10" i="8"/>
  <c r="E10" i="8"/>
  <c r="A10" i="8"/>
  <c r="M289" i="3"/>
  <c r="N289" i="3" s="1"/>
  <c r="L289" i="3"/>
  <c r="K289" i="3"/>
  <c r="J289" i="3"/>
  <c r="I289" i="3"/>
  <c r="H289" i="3"/>
  <c r="G289" i="3"/>
  <c r="F289" i="3"/>
  <c r="E289" i="3"/>
  <c r="D289" i="3"/>
  <c r="C289" i="3"/>
  <c r="B289" i="3"/>
  <c r="A289" i="3"/>
  <c r="L288" i="3"/>
  <c r="K288" i="3"/>
  <c r="J288" i="3"/>
  <c r="I288" i="3"/>
  <c r="M288" i="3" s="1"/>
  <c r="N288" i="3" s="1"/>
  <c r="H288" i="3"/>
  <c r="G288" i="3"/>
  <c r="F288" i="3"/>
  <c r="E288" i="3"/>
  <c r="D288" i="3"/>
  <c r="C288" i="3"/>
  <c r="B288" i="3"/>
  <c r="A288" i="3"/>
  <c r="L287" i="3"/>
  <c r="K287" i="3"/>
  <c r="J287" i="3"/>
  <c r="I287" i="3"/>
  <c r="M287" i="3" s="1"/>
  <c r="N287" i="3" s="1"/>
  <c r="H287" i="3"/>
  <c r="G287" i="3"/>
  <c r="F287" i="3"/>
  <c r="E287" i="3"/>
  <c r="D287" i="3"/>
  <c r="C287" i="3"/>
  <c r="B287" i="3"/>
  <c r="A287" i="3"/>
  <c r="K286" i="3"/>
  <c r="J286" i="3"/>
  <c r="I286" i="3"/>
  <c r="M286" i="3" s="1"/>
  <c r="N286" i="3" s="1"/>
  <c r="H286" i="3"/>
  <c r="G286" i="3"/>
  <c r="F286" i="3"/>
  <c r="E286" i="3"/>
  <c r="D286" i="3"/>
  <c r="C286" i="3"/>
  <c r="B286" i="3"/>
  <c r="L286" i="3" s="1"/>
  <c r="A286" i="3"/>
  <c r="L285" i="3"/>
  <c r="K285" i="3"/>
  <c r="J285" i="3"/>
  <c r="I285" i="3"/>
  <c r="M285" i="3" s="1"/>
  <c r="N285" i="3" s="1"/>
  <c r="H285" i="3"/>
  <c r="G285" i="3"/>
  <c r="F285" i="3"/>
  <c r="E285" i="3"/>
  <c r="D285" i="3"/>
  <c r="C285" i="3"/>
  <c r="B285" i="3"/>
  <c r="A285" i="3"/>
  <c r="L284" i="3"/>
  <c r="J284" i="3"/>
  <c r="I284" i="3"/>
  <c r="M284" i="3" s="1"/>
  <c r="N284" i="3" s="1"/>
  <c r="H284" i="3"/>
  <c r="G284" i="3"/>
  <c r="F284" i="3"/>
  <c r="E284" i="3"/>
  <c r="D284" i="3"/>
  <c r="C284" i="3"/>
  <c r="B284" i="3"/>
  <c r="K284" i="3" s="1"/>
  <c r="A284" i="3"/>
  <c r="J283" i="3"/>
  <c r="I283" i="3"/>
  <c r="M283" i="3" s="1"/>
  <c r="N283" i="3" s="1"/>
  <c r="H283" i="3"/>
  <c r="G283" i="3"/>
  <c r="F283" i="3"/>
  <c r="E283" i="3"/>
  <c r="D283" i="3"/>
  <c r="C283" i="3"/>
  <c r="B283" i="3"/>
  <c r="L283" i="3" s="1"/>
  <c r="A283" i="3"/>
  <c r="M282" i="3"/>
  <c r="N282" i="3" s="1"/>
  <c r="J282" i="3"/>
  <c r="I282" i="3"/>
  <c r="H282" i="3"/>
  <c r="G282" i="3"/>
  <c r="F282" i="3"/>
  <c r="E282" i="3"/>
  <c r="D282" i="3"/>
  <c r="C282" i="3"/>
  <c r="B282" i="3"/>
  <c r="L282" i="3" s="1"/>
  <c r="A282" i="3"/>
  <c r="M281" i="3"/>
  <c r="N281" i="3" s="1"/>
  <c r="L281" i="3"/>
  <c r="K281" i="3"/>
  <c r="J281" i="3"/>
  <c r="I281" i="3"/>
  <c r="H281" i="3"/>
  <c r="G281" i="3"/>
  <c r="F281" i="3"/>
  <c r="E281" i="3"/>
  <c r="D281" i="3"/>
  <c r="C281" i="3"/>
  <c r="B281" i="3"/>
  <c r="A281" i="3"/>
  <c r="M280" i="3"/>
  <c r="N280" i="3" s="1"/>
  <c r="L280" i="3"/>
  <c r="K280" i="3"/>
  <c r="J280" i="3"/>
  <c r="I280" i="3"/>
  <c r="H280" i="3"/>
  <c r="G280" i="3"/>
  <c r="F280" i="3"/>
  <c r="E280" i="3"/>
  <c r="D280" i="3"/>
  <c r="C280" i="3"/>
  <c r="B280" i="3"/>
  <c r="A280" i="3"/>
  <c r="L279" i="3"/>
  <c r="K279" i="3"/>
  <c r="J279" i="3"/>
  <c r="I279" i="3"/>
  <c r="M279" i="3" s="1"/>
  <c r="N279" i="3" s="1"/>
  <c r="H279" i="3"/>
  <c r="G279" i="3"/>
  <c r="F279" i="3"/>
  <c r="E279" i="3"/>
  <c r="D279" i="3"/>
  <c r="C279" i="3"/>
  <c r="B279" i="3"/>
  <c r="A279" i="3"/>
  <c r="L278" i="3"/>
  <c r="K278" i="3"/>
  <c r="J278" i="3"/>
  <c r="I278" i="3"/>
  <c r="H278" i="3"/>
  <c r="G278" i="3"/>
  <c r="F278" i="3"/>
  <c r="E278" i="3"/>
  <c r="D278" i="3"/>
  <c r="C278" i="3"/>
  <c r="B278" i="3"/>
  <c r="A278" i="3"/>
  <c r="L277" i="3"/>
  <c r="K277" i="3"/>
  <c r="J277" i="3"/>
  <c r="I277" i="3"/>
  <c r="M277" i="3" s="1"/>
  <c r="N277" i="3" s="1"/>
  <c r="H277" i="3"/>
  <c r="G277" i="3"/>
  <c r="F277" i="3"/>
  <c r="E277" i="3"/>
  <c r="D277" i="3"/>
  <c r="C277" i="3"/>
  <c r="B277" i="3"/>
  <c r="A277" i="3"/>
  <c r="L276" i="3"/>
  <c r="J276" i="3"/>
  <c r="I276" i="3"/>
  <c r="M276" i="3" s="1"/>
  <c r="N276" i="3" s="1"/>
  <c r="H276" i="3"/>
  <c r="G276" i="3"/>
  <c r="F276" i="3"/>
  <c r="E276" i="3"/>
  <c r="D276" i="3"/>
  <c r="C276" i="3"/>
  <c r="B276" i="3"/>
  <c r="K276" i="3" s="1"/>
  <c r="A276" i="3"/>
  <c r="J275" i="3"/>
  <c r="I275" i="3"/>
  <c r="M275" i="3" s="1"/>
  <c r="N275" i="3" s="1"/>
  <c r="H275" i="3"/>
  <c r="G275" i="3"/>
  <c r="F275" i="3"/>
  <c r="E275" i="3"/>
  <c r="D275" i="3"/>
  <c r="C275" i="3"/>
  <c r="B275" i="3"/>
  <c r="L275" i="3" s="1"/>
  <c r="A275" i="3"/>
  <c r="M274" i="3"/>
  <c r="N274" i="3" s="1"/>
  <c r="J274" i="3"/>
  <c r="I274" i="3"/>
  <c r="H274" i="3"/>
  <c r="G274" i="3"/>
  <c r="F274" i="3"/>
  <c r="E274" i="3"/>
  <c r="D274" i="3"/>
  <c r="C274" i="3"/>
  <c r="B274" i="3"/>
  <c r="A274" i="3"/>
  <c r="M273" i="3"/>
  <c r="N273" i="3" s="1"/>
  <c r="L273" i="3"/>
  <c r="K273" i="3"/>
  <c r="J273" i="3"/>
  <c r="I273" i="3"/>
  <c r="H273" i="3"/>
  <c r="G273" i="3"/>
  <c r="F273" i="3"/>
  <c r="E273" i="3"/>
  <c r="D273" i="3"/>
  <c r="C273" i="3"/>
  <c r="B273" i="3"/>
  <c r="A273" i="3"/>
  <c r="M272" i="3"/>
  <c r="N272" i="3" s="1"/>
  <c r="L272" i="3"/>
  <c r="K272" i="3"/>
  <c r="J272" i="3"/>
  <c r="I272" i="3"/>
  <c r="H272" i="3"/>
  <c r="G272" i="3"/>
  <c r="F272" i="3"/>
  <c r="E272" i="3"/>
  <c r="D272" i="3"/>
  <c r="C272" i="3"/>
  <c r="B272" i="3"/>
  <c r="A272" i="3"/>
  <c r="L271" i="3"/>
  <c r="K271" i="3"/>
  <c r="J271" i="3"/>
  <c r="I271" i="3"/>
  <c r="M271" i="3" s="1"/>
  <c r="N271" i="3" s="1"/>
  <c r="H271" i="3"/>
  <c r="G271" i="3"/>
  <c r="F271" i="3"/>
  <c r="E271" i="3"/>
  <c r="D271" i="3"/>
  <c r="C271" i="3"/>
  <c r="B271" i="3"/>
  <c r="A271" i="3"/>
  <c r="L270" i="3"/>
  <c r="K270" i="3"/>
  <c r="J270" i="3"/>
  <c r="I270" i="3"/>
  <c r="H270" i="3"/>
  <c r="G270" i="3"/>
  <c r="F270" i="3"/>
  <c r="E270" i="3"/>
  <c r="D270" i="3"/>
  <c r="C270" i="3"/>
  <c r="B270" i="3"/>
  <c r="A270" i="3"/>
  <c r="L269" i="3"/>
  <c r="K269" i="3"/>
  <c r="J269" i="3"/>
  <c r="I269" i="3"/>
  <c r="M269" i="3" s="1"/>
  <c r="N269" i="3" s="1"/>
  <c r="H269" i="3"/>
  <c r="G269" i="3"/>
  <c r="F269" i="3"/>
  <c r="E269" i="3"/>
  <c r="D269" i="3"/>
  <c r="C269" i="3"/>
  <c r="B269" i="3"/>
  <c r="A269" i="3"/>
  <c r="L268" i="3"/>
  <c r="J268" i="3"/>
  <c r="I268" i="3"/>
  <c r="M268" i="3" s="1"/>
  <c r="N268" i="3" s="1"/>
  <c r="H268" i="3"/>
  <c r="G268" i="3"/>
  <c r="F268" i="3"/>
  <c r="E268" i="3"/>
  <c r="D268" i="3"/>
  <c r="C268" i="3"/>
  <c r="B268" i="3"/>
  <c r="K268" i="3" s="1"/>
  <c r="A268" i="3"/>
  <c r="J267" i="3"/>
  <c r="I267" i="3"/>
  <c r="M267" i="3" s="1"/>
  <c r="N267" i="3" s="1"/>
  <c r="H267" i="3"/>
  <c r="G267" i="3"/>
  <c r="F267" i="3"/>
  <c r="E267" i="3"/>
  <c r="D267" i="3"/>
  <c r="C267" i="3"/>
  <c r="B267" i="3"/>
  <c r="L267" i="3" s="1"/>
  <c r="A267" i="3"/>
  <c r="M266" i="3"/>
  <c r="N266" i="3" s="1"/>
  <c r="J266" i="3"/>
  <c r="I266" i="3"/>
  <c r="H266" i="3"/>
  <c r="G266" i="3"/>
  <c r="F266" i="3"/>
  <c r="E266" i="3"/>
  <c r="D266" i="3"/>
  <c r="C266" i="3"/>
  <c r="B266" i="3"/>
  <c r="A266" i="3"/>
  <c r="M265" i="3"/>
  <c r="N265" i="3" s="1"/>
  <c r="L265" i="3"/>
  <c r="K265" i="3"/>
  <c r="J265" i="3"/>
  <c r="I265" i="3"/>
  <c r="H265" i="3"/>
  <c r="G265" i="3"/>
  <c r="F265" i="3"/>
  <c r="E265" i="3"/>
  <c r="D265" i="3"/>
  <c r="C265" i="3"/>
  <c r="B265" i="3"/>
  <c r="A265" i="3"/>
  <c r="M264" i="3"/>
  <c r="N264" i="3" s="1"/>
  <c r="L264" i="3"/>
  <c r="K264" i="3"/>
  <c r="J264" i="3"/>
  <c r="I264" i="3"/>
  <c r="H264" i="3"/>
  <c r="G264" i="3"/>
  <c r="F264" i="3"/>
  <c r="E264" i="3"/>
  <c r="D264" i="3"/>
  <c r="C264" i="3"/>
  <c r="B264" i="3"/>
  <c r="A264" i="3"/>
  <c r="L263" i="3"/>
  <c r="K263" i="3"/>
  <c r="J263" i="3"/>
  <c r="I263" i="3"/>
  <c r="M263" i="3" s="1"/>
  <c r="N263" i="3" s="1"/>
  <c r="H263" i="3"/>
  <c r="G263" i="3"/>
  <c r="F263" i="3"/>
  <c r="E263" i="3"/>
  <c r="D263" i="3"/>
  <c r="C263" i="3"/>
  <c r="B263" i="3"/>
  <c r="A263" i="3"/>
  <c r="L262" i="3"/>
  <c r="K262" i="3"/>
  <c r="J262" i="3"/>
  <c r="I262" i="3"/>
  <c r="M262" i="3" s="1"/>
  <c r="N262" i="3" s="1"/>
  <c r="H262" i="3"/>
  <c r="G262" i="3"/>
  <c r="F262" i="3"/>
  <c r="E262" i="3"/>
  <c r="D262" i="3"/>
  <c r="C262" i="3"/>
  <c r="B262" i="3"/>
  <c r="A262" i="3"/>
  <c r="K261" i="3"/>
  <c r="J261" i="3"/>
  <c r="I261" i="3"/>
  <c r="M261" i="3" s="1"/>
  <c r="N261" i="3" s="1"/>
  <c r="H261" i="3"/>
  <c r="G261" i="3"/>
  <c r="F261" i="3"/>
  <c r="E261" i="3"/>
  <c r="D261" i="3"/>
  <c r="C261" i="3"/>
  <c r="B261" i="3"/>
  <c r="L261" i="3" s="1"/>
  <c r="A261" i="3"/>
  <c r="L260" i="3"/>
  <c r="J260" i="3"/>
  <c r="I260" i="3"/>
  <c r="M260" i="3" s="1"/>
  <c r="N260" i="3" s="1"/>
  <c r="H260" i="3"/>
  <c r="G260" i="3"/>
  <c r="F260" i="3"/>
  <c r="E260" i="3"/>
  <c r="D260" i="3"/>
  <c r="C260" i="3"/>
  <c r="B260" i="3"/>
  <c r="K260" i="3" s="1"/>
  <c r="A260" i="3"/>
  <c r="J259" i="3"/>
  <c r="I259" i="3"/>
  <c r="M259" i="3" s="1"/>
  <c r="N259" i="3" s="1"/>
  <c r="H259" i="3"/>
  <c r="G259" i="3"/>
  <c r="F259" i="3"/>
  <c r="E259" i="3"/>
  <c r="D259" i="3"/>
  <c r="C259" i="3"/>
  <c r="B259" i="3"/>
  <c r="L259" i="3" s="1"/>
  <c r="A259" i="3"/>
  <c r="M258" i="3"/>
  <c r="N258" i="3" s="1"/>
  <c r="J258" i="3"/>
  <c r="I258" i="3"/>
  <c r="H258" i="3"/>
  <c r="G258" i="3"/>
  <c r="F258" i="3"/>
  <c r="E258" i="3"/>
  <c r="D258" i="3"/>
  <c r="C258" i="3"/>
  <c r="B258" i="3"/>
  <c r="A258" i="3"/>
  <c r="M257" i="3"/>
  <c r="N257" i="3" s="1"/>
  <c r="L257" i="3"/>
  <c r="K257" i="3"/>
  <c r="J257" i="3"/>
  <c r="I257" i="3"/>
  <c r="H257" i="3"/>
  <c r="G257" i="3"/>
  <c r="F257" i="3"/>
  <c r="E257" i="3"/>
  <c r="D257" i="3"/>
  <c r="C257" i="3"/>
  <c r="B257" i="3"/>
  <c r="A257" i="3"/>
  <c r="M256" i="3"/>
  <c r="N256" i="3" s="1"/>
  <c r="L256" i="3"/>
  <c r="K256" i="3"/>
  <c r="J256" i="3"/>
  <c r="I256" i="3"/>
  <c r="H256" i="3"/>
  <c r="G256" i="3"/>
  <c r="F256" i="3"/>
  <c r="E256" i="3"/>
  <c r="D256" i="3"/>
  <c r="C256" i="3"/>
  <c r="B256" i="3"/>
  <c r="A256" i="3"/>
  <c r="L255" i="3"/>
  <c r="K255" i="3"/>
  <c r="J255" i="3"/>
  <c r="I255" i="3"/>
  <c r="M255" i="3" s="1"/>
  <c r="N255" i="3" s="1"/>
  <c r="H255" i="3"/>
  <c r="G255" i="3"/>
  <c r="F255" i="3"/>
  <c r="E255" i="3"/>
  <c r="D255" i="3"/>
  <c r="C255" i="3"/>
  <c r="B255" i="3"/>
  <c r="A255" i="3"/>
  <c r="L254" i="3"/>
  <c r="K254" i="3"/>
  <c r="J254" i="3"/>
  <c r="I254" i="3"/>
  <c r="M254" i="3" s="1"/>
  <c r="N254" i="3" s="1"/>
  <c r="H254" i="3"/>
  <c r="G254" i="3"/>
  <c r="F254" i="3"/>
  <c r="E254" i="3"/>
  <c r="D254" i="3"/>
  <c r="C254" i="3"/>
  <c r="B254" i="3"/>
  <c r="A254" i="3"/>
  <c r="K253" i="3"/>
  <c r="J253" i="3"/>
  <c r="I253" i="3"/>
  <c r="M253" i="3" s="1"/>
  <c r="N253" i="3" s="1"/>
  <c r="H253" i="3"/>
  <c r="G253" i="3"/>
  <c r="F253" i="3"/>
  <c r="E253" i="3"/>
  <c r="D253" i="3"/>
  <c r="C253" i="3"/>
  <c r="B253" i="3"/>
  <c r="L253" i="3" s="1"/>
  <c r="A253" i="3"/>
  <c r="L252" i="3"/>
  <c r="J252" i="3"/>
  <c r="I252" i="3"/>
  <c r="M252" i="3" s="1"/>
  <c r="N252" i="3" s="1"/>
  <c r="H252" i="3"/>
  <c r="G252" i="3"/>
  <c r="F252" i="3"/>
  <c r="E252" i="3"/>
  <c r="D252" i="3"/>
  <c r="C252" i="3"/>
  <c r="B252" i="3"/>
  <c r="K252" i="3" s="1"/>
  <c r="A252" i="3"/>
  <c r="J251" i="3"/>
  <c r="I251" i="3"/>
  <c r="M251" i="3" s="1"/>
  <c r="N251" i="3" s="1"/>
  <c r="H251" i="3"/>
  <c r="G251" i="3"/>
  <c r="F251" i="3"/>
  <c r="E251" i="3"/>
  <c r="D251" i="3"/>
  <c r="C251" i="3"/>
  <c r="B251" i="3"/>
  <c r="L251" i="3" s="1"/>
  <c r="A251" i="3"/>
  <c r="M250" i="3"/>
  <c r="N250" i="3" s="1"/>
  <c r="J250" i="3"/>
  <c r="I250" i="3"/>
  <c r="H250" i="3"/>
  <c r="G250" i="3"/>
  <c r="F250" i="3"/>
  <c r="E250" i="3"/>
  <c r="D250" i="3"/>
  <c r="C250" i="3"/>
  <c r="B250" i="3"/>
  <c r="A250" i="3"/>
  <c r="M249" i="3"/>
  <c r="N249" i="3" s="1"/>
  <c r="L249" i="3"/>
  <c r="K249" i="3"/>
  <c r="J249" i="3"/>
  <c r="I249" i="3"/>
  <c r="H249" i="3"/>
  <c r="G249" i="3"/>
  <c r="F249" i="3"/>
  <c r="E249" i="3"/>
  <c r="D249" i="3"/>
  <c r="C249" i="3"/>
  <c r="B249" i="3"/>
  <c r="A249" i="3"/>
  <c r="M248" i="3"/>
  <c r="N248" i="3" s="1"/>
  <c r="L248" i="3"/>
  <c r="K248" i="3"/>
  <c r="J248" i="3"/>
  <c r="I248" i="3"/>
  <c r="H248" i="3"/>
  <c r="G248" i="3"/>
  <c r="F248" i="3"/>
  <c r="E248" i="3"/>
  <c r="D248" i="3"/>
  <c r="C248" i="3"/>
  <c r="B248" i="3"/>
  <c r="A248" i="3"/>
  <c r="L247" i="3"/>
  <c r="K247" i="3"/>
  <c r="J247" i="3"/>
  <c r="I247" i="3"/>
  <c r="M247" i="3" s="1"/>
  <c r="N247" i="3" s="1"/>
  <c r="H247" i="3"/>
  <c r="G247" i="3"/>
  <c r="F247" i="3"/>
  <c r="E247" i="3"/>
  <c r="D247" i="3"/>
  <c r="C247" i="3"/>
  <c r="B247" i="3"/>
  <c r="A247" i="3"/>
  <c r="L246" i="3"/>
  <c r="K246" i="3"/>
  <c r="J246" i="3"/>
  <c r="I246" i="3"/>
  <c r="M246" i="3" s="1"/>
  <c r="N246" i="3" s="1"/>
  <c r="H246" i="3"/>
  <c r="G246" i="3"/>
  <c r="F246" i="3"/>
  <c r="E246" i="3"/>
  <c r="D246" i="3"/>
  <c r="C246" i="3"/>
  <c r="B246" i="3"/>
  <c r="A246" i="3"/>
  <c r="K245" i="3"/>
  <c r="J245" i="3"/>
  <c r="I245" i="3"/>
  <c r="M245" i="3" s="1"/>
  <c r="N245" i="3" s="1"/>
  <c r="H245" i="3"/>
  <c r="G245" i="3"/>
  <c r="F245" i="3"/>
  <c r="E245" i="3"/>
  <c r="D245" i="3"/>
  <c r="C245" i="3"/>
  <c r="B245" i="3"/>
  <c r="L245" i="3" s="1"/>
  <c r="A245" i="3"/>
  <c r="L244" i="3"/>
  <c r="J244" i="3"/>
  <c r="I244" i="3"/>
  <c r="M244" i="3" s="1"/>
  <c r="N244" i="3" s="1"/>
  <c r="H244" i="3"/>
  <c r="G244" i="3"/>
  <c r="F244" i="3"/>
  <c r="E244" i="3"/>
  <c r="D244" i="3"/>
  <c r="C244" i="3"/>
  <c r="B244" i="3"/>
  <c r="K244" i="3" s="1"/>
  <c r="A244" i="3"/>
  <c r="J243" i="3"/>
  <c r="I243" i="3"/>
  <c r="M243" i="3" s="1"/>
  <c r="N243" i="3" s="1"/>
  <c r="H243" i="3"/>
  <c r="G243" i="3"/>
  <c r="F243" i="3"/>
  <c r="E243" i="3"/>
  <c r="D243" i="3"/>
  <c r="C243" i="3"/>
  <c r="B243" i="3"/>
  <c r="L243" i="3" s="1"/>
  <c r="A243" i="3"/>
  <c r="M242" i="3"/>
  <c r="N242" i="3" s="1"/>
  <c r="J242" i="3"/>
  <c r="I242" i="3"/>
  <c r="H242" i="3"/>
  <c r="G242" i="3"/>
  <c r="F242" i="3"/>
  <c r="E242" i="3"/>
  <c r="D242" i="3"/>
  <c r="C242" i="3"/>
  <c r="B242" i="3"/>
  <c r="A242" i="3"/>
  <c r="M241" i="3"/>
  <c r="N241" i="3" s="1"/>
  <c r="L241" i="3"/>
  <c r="K241" i="3"/>
  <c r="J241" i="3"/>
  <c r="I241" i="3"/>
  <c r="H241" i="3"/>
  <c r="G241" i="3"/>
  <c r="F241" i="3"/>
  <c r="E241" i="3"/>
  <c r="D241" i="3"/>
  <c r="C241" i="3"/>
  <c r="B241" i="3"/>
  <c r="A241" i="3"/>
  <c r="M240" i="3"/>
  <c r="N240" i="3" s="1"/>
  <c r="L240" i="3"/>
  <c r="K240" i="3"/>
  <c r="J240" i="3"/>
  <c r="I240" i="3"/>
  <c r="H240" i="3"/>
  <c r="G240" i="3"/>
  <c r="F240" i="3"/>
  <c r="E240" i="3"/>
  <c r="D240" i="3"/>
  <c r="C240" i="3"/>
  <c r="B240" i="3"/>
  <c r="A240" i="3"/>
  <c r="L239" i="3"/>
  <c r="K239" i="3"/>
  <c r="J239" i="3"/>
  <c r="I239" i="3"/>
  <c r="M239" i="3" s="1"/>
  <c r="N239" i="3" s="1"/>
  <c r="H239" i="3"/>
  <c r="G239" i="3"/>
  <c r="F239" i="3"/>
  <c r="E239" i="3"/>
  <c r="D239" i="3"/>
  <c r="C239" i="3"/>
  <c r="B239" i="3"/>
  <c r="A239" i="3"/>
  <c r="L238" i="3"/>
  <c r="K238" i="3"/>
  <c r="J238" i="3"/>
  <c r="I238" i="3"/>
  <c r="M238" i="3" s="1"/>
  <c r="N238" i="3" s="1"/>
  <c r="H238" i="3"/>
  <c r="G238" i="3"/>
  <c r="F238" i="3"/>
  <c r="E238" i="3"/>
  <c r="D238" i="3"/>
  <c r="C238" i="3"/>
  <c r="B238" i="3"/>
  <c r="A238" i="3"/>
  <c r="K237" i="3"/>
  <c r="J237" i="3"/>
  <c r="I237" i="3"/>
  <c r="M237" i="3" s="1"/>
  <c r="N237" i="3" s="1"/>
  <c r="H237" i="3"/>
  <c r="G237" i="3"/>
  <c r="F237" i="3"/>
  <c r="E237" i="3"/>
  <c r="D237" i="3"/>
  <c r="C237" i="3"/>
  <c r="B237" i="3"/>
  <c r="L237" i="3" s="1"/>
  <c r="A237" i="3"/>
  <c r="L236" i="3"/>
  <c r="J236" i="3"/>
  <c r="I236" i="3"/>
  <c r="M236" i="3" s="1"/>
  <c r="N236" i="3" s="1"/>
  <c r="H236" i="3"/>
  <c r="G236" i="3"/>
  <c r="F236" i="3"/>
  <c r="E236" i="3"/>
  <c r="D236" i="3"/>
  <c r="C236" i="3"/>
  <c r="B236" i="3"/>
  <c r="K236" i="3" s="1"/>
  <c r="A236" i="3"/>
  <c r="J235" i="3"/>
  <c r="I235" i="3"/>
  <c r="M235" i="3" s="1"/>
  <c r="N235" i="3" s="1"/>
  <c r="H235" i="3"/>
  <c r="G235" i="3"/>
  <c r="F235" i="3"/>
  <c r="E235" i="3"/>
  <c r="D235" i="3"/>
  <c r="C235" i="3"/>
  <c r="B235" i="3"/>
  <c r="L235" i="3" s="1"/>
  <c r="A235" i="3"/>
  <c r="M234" i="3"/>
  <c r="N234" i="3" s="1"/>
  <c r="J234" i="3"/>
  <c r="I234" i="3"/>
  <c r="H234" i="3"/>
  <c r="G234" i="3"/>
  <c r="F234" i="3"/>
  <c r="E234" i="3"/>
  <c r="D234" i="3"/>
  <c r="C234" i="3"/>
  <c r="B234" i="3"/>
  <c r="A234" i="3"/>
  <c r="M233" i="3"/>
  <c r="N233" i="3" s="1"/>
  <c r="L233" i="3"/>
  <c r="K233" i="3"/>
  <c r="J233" i="3"/>
  <c r="I233" i="3"/>
  <c r="H233" i="3"/>
  <c r="G233" i="3"/>
  <c r="F233" i="3"/>
  <c r="E233" i="3"/>
  <c r="D233" i="3"/>
  <c r="C233" i="3"/>
  <c r="B233" i="3"/>
  <c r="A233" i="3"/>
  <c r="M232" i="3"/>
  <c r="N232" i="3" s="1"/>
  <c r="L232" i="3"/>
  <c r="K232" i="3"/>
  <c r="J232" i="3"/>
  <c r="I232" i="3"/>
  <c r="H232" i="3"/>
  <c r="G232" i="3"/>
  <c r="F232" i="3"/>
  <c r="E232" i="3"/>
  <c r="D232" i="3"/>
  <c r="C232" i="3"/>
  <c r="B232" i="3"/>
  <c r="A232" i="3"/>
  <c r="L231" i="3"/>
  <c r="K231" i="3"/>
  <c r="J231" i="3"/>
  <c r="I231" i="3"/>
  <c r="M231" i="3" s="1"/>
  <c r="N231" i="3" s="1"/>
  <c r="H231" i="3"/>
  <c r="G231" i="3"/>
  <c r="F231" i="3"/>
  <c r="E231" i="3"/>
  <c r="D231" i="3"/>
  <c r="C231" i="3"/>
  <c r="B231" i="3"/>
  <c r="A231" i="3"/>
  <c r="L230" i="3"/>
  <c r="K230" i="3"/>
  <c r="J230" i="3"/>
  <c r="I230" i="3"/>
  <c r="M230" i="3" s="1"/>
  <c r="N230" i="3" s="1"/>
  <c r="H230" i="3"/>
  <c r="G230" i="3"/>
  <c r="F230" i="3"/>
  <c r="E230" i="3"/>
  <c r="D230" i="3"/>
  <c r="C230" i="3"/>
  <c r="B230" i="3"/>
  <c r="A230" i="3"/>
  <c r="K229" i="3"/>
  <c r="J229" i="3"/>
  <c r="I229" i="3"/>
  <c r="M229" i="3" s="1"/>
  <c r="N229" i="3" s="1"/>
  <c r="H229" i="3"/>
  <c r="G229" i="3"/>
  <c r="F229" i="3"/>
  <c r="E229" i="3"/>
  <c r="D229" i="3"/>
  <c r="C229" i="3"/>
  <c r="B229" i="3"/>
  <c r="L229" i="3" s="1"/>
  <c r="A229" i="3"/>
  <c r="L228" i="3"/>
  <c r="J228" i="3"/>
  <c r="I228" i="3"/>
  <c r="M228" i="3" s="1"/>
  <c r="N228" i="3" s="1"/>
  <c r="H228" i="3"/>
  <c r="G228" i="3"/>
  <c r="F228" i="3"/>
  <c r="E228" i="3"/>
  <c r="D228" i="3"/>
  <c r="C228" i="3"/>
  <c r="B228" i="3"/>
  <c r="K228" i="3" s="1"/>
  <c r="A228" i="3"/>
  <c r="J227" i="3"/>
  <c r="I227" i="3"/>
  <c r="M227" i="3" s="1"/>
  <c r="N227" i="3" s="1"/>
  <c r="H227" i="3"/>
  <c r="G227" i="3"/>
  <c r="F227" i="3"/>
  <c r="E227" i="3"/>
  <c r="D227" i="3"/>
  <c r="C227" i="3"/>
  <c r="B227" i="3"/>
  <c r="L227" i="3" s="1"/>
  <c r="A227" i="3"/>
  <c r="M226" i="3"/>
  <c r="N226" i="3" s="1"/>
  <c r="J226" i="3"/>
  <c r="I226" i="3"/>
  <c r="H226" i="3"/>
  <c r="G226" i="3"/>
  <c r="F226" i="3"/>
  <c r="E226" i="3"/>
  <c r="D226" i="3"/>
  <c r="C226" i="3"/>
  <c r="B226" i="3"/>
  <c r="A226" i="3"/>
  <c r="M225" i="3"/>
  <c r="N225" i="3" s="1"/>
  <c r="L225" i="3"/>
  <c r="K225" i="3"/>
  <c r="J225" i="3"/>
  <c r="I225" i="3"/>
  <c r="H225" i="3"/>
  <c r="G225" i="3"/>
  <c r="F225" i="3"/>
  <c r="E225" i="3"/>
  <c r="D225" i="3"/>
  <c r="C225" i="3"/>
  <c r="B225" i="3"/>
  <c r="A225" i="3"/>
  <c r="M224" i="3"/>
  <c r="N224" i="3" s="1"/>
  <c r="L224" i="3"/>
  <c r="K224" i="3"/>
  <c r="J224" i="3"/>
  <c r="I224" i="3"/>
  <c r="H224" i="3"/>
  <c r="G224" i="3"/>
  <c r="F224" i="3"/>
  <c r="E224" i="3"/>
  <c r="D224" i="3"/>
  <c r="C224" i="3"/>
  <c r="B224" i="3"/>
  <c r="A224" i="3"/>
  <c r="L223" i="3"/>
  <c r="K223" i="3"/>
  <c r="J223" i="3"/>
  <c r="I223" i="3"/>
  <c r="M223" i="3" s="1"/>
  <c r="N223" i="3" s="1"/>
  <c r="H223" i="3"/>
  <c r="G223" i="3"/>
  <c r="F223" i="3"/>
  <c r="E223" i="3"/>
  <c r="D223" i="3"/>
  <c r="C223" i="3"/>
  <c r="B223" i="3"/>
  <c r="A223" i="3"/>
  <c r="L222" i="3"/>
  <c r="K222" i="3"/>
  <c r="J222" i="3"/>
  <c r="I222" i="3"/>
  <c r="M222" i="3" s="1"/>
  <c r="N222" i="3" s="1"/>
  <c r="H222" i="3"/>
  <c r="G222" i="3"/>
  <c r="F222" i="3"/>
  <c r="E222" i="3"/>
  <c r="D222" i="3"/>
  <c r="C222" i="3"/>
  <c r="B222" i="3"/>
  <c r="A222" i="3"/>
  <c r="K221" i="3"/>
  <c r="J221" i="3"/>
  <c r="I221" i="3"/>
  <c r="M221" i="3" s="1"/>
  <c r="N221" i="3" s="1"/>
  <c r="H221" i="3"/>
  <c r="G221" i="3"/>
  <c r="F221" i="3"/>
  <c r="E221" i="3"/>
  <c r="D221" i="3"/>
  <c r="C221" i="3"/>
  <c r="B221" i="3"/>
  <c r="L221" i="3" s="1"/>
  <c r="A221" i="3"/>
  <c r="L220" i="3"/>
  <c r="J220" i="3"/>
  <c r="I220" i="3"/>
  <c r="M220" i="3" s="1"/>
  <c r="N220" i="3" s="1"/>
  <c r="H220" i="3"/>
  <c r="G220" i="3"/>
  <c r="F220" i="3"/>
  <c r="E220" i="3"/>
  <c r="D220" i="3"/>
  <c r="C220" i="3"/>
  <c r="B220" i="3"/>
  <c r="K220" i="3" s="1"/>
  <c r="A220" i="3"/>
  <c r="J219" i="3"/>
  <c r="I219" i="3"/>
  <c r="M219" i="3" s="1"/>
  <c r="N219" i="3" s="1"/>
  <c r="H219" i="3"/>
  <c r="G219" i="3"/>
  <c r="F219" i="3"/>
  <c r="E219" i="3"/>
  <c r="D219" i="3"/>
  <c r="C219" i="3"/>
  <c r="B219" i="3"/>
  <c r="L219" i="3" s="1"/>
  <c r="A219" i="3"/>
  <c r="M218" i="3"/>
  <c r="N218" i="3" s="1"/>
  <c r="J218" i="3"/>
  <c r="I218" i="3"/>
  <c r="H218" i="3"/>
  <c r="G218" i="3"/>
  <c r="F218" i="3"/>
  <c r="E218" i="3"/>
  <c r="D218" i="3"/>
  <c r="C218" i="3"/>
  <c r="B218" i="3"/>
  <c r="A218" i="3"/>
  <c r="M217" i="3"/>
  <c r="N217" i="3" s="1"/>
  <c r="L217" i="3"/>
  <c r="K217" i="3"/>
  <c r="J217" i="3"/>
  <c r="I217" i="3"/>
  <c r="H217" i="3"/>
  <c r="G217" i="3"/>
  <c r="F217" i="3"/>
  <c r="E217" i="3"/>
  <c r="D217" i="3"/>
  <c r="C217" i="3"/>
  <c r="B217" i="3"/>
  <c r="A217" i="3"/>
  <c r="M216" i="3"/>
  <c r="N216" i="3" s="1"/>
  <c r="L216" i="3"/>
  <c r="K216" i="3"/>
  <c r="J216" i="3"/>
  <c r="I216" i="3"/>
  <c r="H216" i="3"/>
  <c r="G216" i="3"/>
  <c r="F216" i="3"/>
  <c r="E216" i="3"/>
  <c r="D216" i="3"/>
  <c r="C216" i="3"/>
  <c r="B216" i="3"/>
  <c r="A216" i="3"/>
  <c r="L215" i="3"/>
  <c r="K215" i="3"/>
  <c r="J215" i="3"/>
  <c r="I215" i="3"/>
  <c r="M215" i="3" s="1"/>
  <c r="N215" i="3" s="1"/>
  <c r="H215" i="3"/>
  <c r="G215" i="3"/>
  <c r="F215" i="3"/>
  <c r="E215" i="3"/>
  <c r="D215" i="3"/>
  <c r="C215" i="3"/>
  <c r="B215" i="3"/>
  <c r="A215" i="3"/>
  <c r="L214" i="3"/>
  <c r="K214" i="3"/>
  <c r="J214" i="3"/>
  <c r="I214" i="3"/>
  <c r="M214" i="3" s="1"/>
  <c r="N214" i="3" s="1"/>
  <c r="H214" i="3"/>
  <c r="G214" i="3"/>
  <c r="F214" i="3"/>
  <c r="E214" i="3"/>
  <c r="D214" i="3"/>
  <c r="C214" i="3"/>
  <c r="B214" i="3"/>
  <c r="A214" i="3"/>
  <c r="K213" i="3"/>
  <c r="J213" i="3"/>
  <c r="I213" i="3"/>
  <c r="M213" i="3" s="1"/>
  <c r="N213" i="3" s="1"/>
  <c r="H213" i="3"/>
  <c r="G213" i="3"/>
  <c r="F213" i="3"/>
  <c r="E213" i="3"/>
  <c r="D213" i="3"/>
  <c r="C213" i="3"/>
  <c r="B213" i="3"/>
  <c r="L213" i="3" s="1"/>
  <c r="A213" i="3"/>
  <c r="L212" i="3"/>
  <c r="J212" i="3"/>
  <c r="I212" i="3"/>
  <c r="M212" i="3" s="1"/>
  <c r="N212" i="3" s="1"/>
  <c r="H212" i="3"/>
  <c r="G212" i="3"/>
  <c r="F212" i="3"/>
  <c r="E212" i="3"/>
  <c r="D212" i="3"/>
  <c r="C212" i="3"/>
  <c r="B212" i="3"/>
  <c r="K212" i="3" s="1"/>
  <c r="A212" i="3"/>
  <c r="J211" i="3"/>
  <c r="I211" i="3"/>
  <c r="M211" i="3" s="1"/>
  <c r="N211" i="3" s="1"/>
  <c r="H211" i="3"/>
  <c r="G211" i="3"/>
  <c r="F211" i="3"/>
  <c r="E211" i="3"/>
  <c r="D211" i="3"/>
  <c r="C211" i="3"/>
  <c r="B211" i="3"/>
  <c r="L211" i="3" s="1"/>
  <c r="A211" i="3"/>
  <c r="M210" i="3"/>
  <c r="N210" i="3" s="1"/>
  <c r="J210" i="3"/>
  <c r="I210" i="3"/>
  <c r="H210" i="3"/>
  <c r="G210" i="3"/>
  <c r="F210" i="3"/>
  <c r="E210" i="3"/>
  <c r="D210" i="3"/>
  <c r="C210" i="3"/>
  <c r="B210" i="3"/>
  <c r="A210" i="3"/>
  <c r="M209" i="3"/>
  <c r="N209" i="3" s="1"/>
  <c r="L209" i="3"/>
  <c r="K209" i="3"/>
  <c r="J209" i="3"/>
  <c r="I209" i="3"/>
  <c r="H209" i="3"/>
  <c r="G209" i="3"/>
  <c r="F209" i="3"/>
  <c r="E209" i="3"/>
  <c r="D209" i="3"/>
  <c r="C209" i="3"/>
  <c r="B209" i="3"/>
  <c r="A209" i="3"/>
  <c r="M208" i="3"/>
  <c r="N208" i="3" s="1"/>
  <c r="L208" i="3"/>
  <c r="K208" i="3"/>
  <c r="J208" i="3"/>
  <c r="I208" i="3"/>
  <c r="H208" i="3"/>
  <c r="G208" i="3"/>
  <c r="F208" i="3"/>
  <c r="E208" i="3"/>
  <c r="D208" i="3"/>
  <c r="C208" i="3"/>
  <c r="B208" i="3"/>
  <c r="A208" i="3"/>
  <c r="L207" i="3"/>
  <c r="K207" i="3"/>
  <c r="J207" i="3"/>
  <c r="I207" i="3"/>
  <c r="M207" i="3" s="1"/>
  <c r="N207" i="3" s="1"/>
  <c r="H207" i="3"/>
  <c r="G207" i="3"/>
  <c r="F207" i="3"/>
  <c r="E207" i="3"/>
  <c r="D207" i="3"/>
  <c r="C207" i="3"/>
  <c r="B207" i="3"/>
  <c r="A207" i="3"/>
  <c r="L206" i="3"/>
  <c r="K206" i="3"/>
  <c r="J206" i="3"/>
  <c r="I206" i="3"/>
  <c r="M206" i="3" s="1"/>
  <c r="N206" i="3" s="1"/>
  <c r="H206" i="3"/>
  <c r="G206" i="3"/>
  <c r="F206" i="3"/>
  <c r="E206" i="3"/>
  <c r="D206" i="3"/>
  <c r="C206" i="3"/>
  <c r="B206" i="3"/>
  <c r="A206" i="3"/>
  <c r="K205" i="3"/>
  <c r="J205" i="3"/>
  <c r="I205" i="3"/>
  <c r="M205" i="3" s="1"/>
  <c r="N205" i="3" s="1"/>
  <c r="H205" i="3"/>
  <c r="G205" i="3"/>
  <c r="F205" i="3"/>
  <c r="E205" i="3"/>
  <c r="D205" i="3"/>
  <c r="C205" i="3"/>
  <c r="B205" i="3"/>
  <c r="L205" i="3" s="1"/>
  <c r="A205" i="3"/>
  <c r="L204" i="3"/>
  <c r="J204" i="3"/>
  <c r="I204" i="3"/>
  <c r="M204" i="3" s="1"/>
  <c r="N204" i="3" s="1"/>
  <c r="H204" i="3"/>
  <c r="G204" i="3"/>
  <c r="F204" i="3"/>
  <c r="E204" i="3"/>
  <c r="D204" i="3"/>
  <c r="C204" i="3"/>
  <c r="B204" i="3"/>
  <c r="K204" i="3" s="1"/>
  <c r="A204" i="3"/>
  <c r="J203" i="3"/>
  <c r="I203" i="3"/>
  <c r="M203" i="3" s="1"/>
  <c r="N203" i="3" s="1"/>
  <c r="H203" i="3"/>
  <c r="G203" i="3"/>
  <c r="F203" i="3"/>
  <c r="E203" i="3"/>
  <c r="D203" i="3"/>
  <c r="C203" i="3"/>
  <c r="B203" i="3"/>
  <c r="L203" i="3" s="1"/>
  <c r="A203" i="3"/>
  <c r="M202" i="3"/>
  <c r="N202" i="3" s="1"/>
  <c r="J202" i="3"/>
  <c r="I202" i="3"/>
  <c r="H202" i="3"/>
  <c r="G202" i="3"/>
  <c r="F202" i="3"/>
  <c r="E202" i="3"/>
  <c r="D202" i="3"/>
  <c r="C202" i="3"/>
  <c r="B202" i="3"/>
  <c r="A202" i="3"/>
  <c r="M201" i="3"/>
  <c r="N201" i="3" s="1"/>
  <c r="L201" i="3"/>
  <c r="K201" i="3"/>
  <c r="J201" i="3"/>
  <c r="I201" i="3"/>
  <c r="H201" i="3"/>
  <c r="G201" i="3"/>
  <c r="F201" i="3"/>
  <c r="E201" i="3"/>
  <c r="D201" i="3"/>
  <c r="C201" i="3"/>
  <c r="B201" i="3"/>
  <c r="A201" i="3"/>
  <c r="M200" i="3"/>
  <c r="N200" i="3" s="1"/>
  <c r="L200" i="3"/>
  <c r="K200" i="3"/>
  <c r="J200" i="3"/>
  <c r="I200" i="3"/>
  <c r="H200" i="3"/>
  <c r="G200" i="3"/>
  <c r="F200" i="3"/>
  <c r="E200" i="3"/>
  <c r="D200" i="3"/>
  <c r="C200" i="3"/>
  <c r="B200" i="3"/>
  <c r="A200" i="3"/>
  <c r="L199" i="3"/>
  <c r="K199" i="3"/>
  <c r="J199" i="3"/>
  <c r="I199" i="3"/>
  <c r="M199" i="3" s="1"/>
  <c r="N199" i="3" s="1"/>
  <c r="H199" i="3"/>
  <c r="G199" i="3"/>
  <c r="F199" i="3"/>
  <c r="E199" i="3"/>
  <c r="D199" i="3"/>
  <c r="C199" i="3"/>
  <c r="B199" i="3"/>
  <c r="A199" i="3"/>
  <c r="L198" i="3"/>
  <c r="K198" i="3"/>
  <c r="J198" i="3"/>
  <c r="I198" i="3"/>
  <c r="M198" i="3" s="1"/>
  <c r="N198" i="3" s="1"/>
  <c r="H198" i="3"/>
  <c r="G198" i="3"/>
  <c r="F198" i="3"/>
  <c r="E198" i="3"/>
  <c r="D198" i="3"/>
  <c r="C198" i="3"/>
  <c r="B198" i="3"/>
  <c r="A198" i="3"/>
  <c r="K197" i="3"/>
  <c r="J197" i="3"/>
  <c r="I197" i="3"/>
  <c r="M197" i="3" s="1"/>
  <c r="N197" i="3" s="1"/>
  <c r="H197" i="3"/>
  <c r="G197" i="3"/>
  <c r="F197" i="3"/>
  <c r="E197" i="3"/>
  <c r="D197" i="3"/>
  <c r="C197" i="3"/>
  <c r="B197" i="3"/>
  <c r="L197" i="3" s="1"/>
  <c r="A197" i="3"/>
  <c r="J196" i="3"/>
  <c r="I196" i="3"/>
  <c r="M196" i="3" s="1"/>
  <c r="N196" i="3" s="1"/>
  <c r="H196" i="3"/>
  <c r="G196" i="3"/>
  <c r="F196" i="3"/>
  <c r="E196" i="3"/>
  <c r="D196" i="3"/>
  <c r="C196" i="3"/>
  <c r="B196" i="3"/>
  <c r="K196" i="3" s="1"/>
  <c r="A196" i="3"/>
  <c r="J195" i="3"/>
  <c r="I195" i="3"/>
  <c r="M195" i="3" s="1"/>
  <c r="N195" i="3" s="1"/>
  <c r="H195" i="3"/>
  <c r="G195" i="3"/>
  <c r="F195" i="3"/>
  <c r="E195" i="3"/>
  <c r="D195" i="3"/>
  <c r="C195" i="3"/>
  <c r="B195" i="3"/>
  <c r="L195" i="3" s="1"/>
  <c r="A195" i="3"/>
  <c r="M194" i="3"/>
  <c r="N194" i="3" s="1"/>
  <c r="J194" i="3"/>
  <c r="I194" i="3"/>
  <c r="H194" i="3"/>
  <c r="G194" i="3"/>
  <c r="F194" i="3"/>
  <c r="E194" i="3"/>
  <c r="D194" i="3"/>
  <c r="C194" i="3"/>
  <c r="B194" i="3"/>
  <c r="A194" i="3"/>
  <c r="M193" i="3"/>
  <c r="N193" i="3" s="1"/>
  <c r="L193" i="3"/>
  <c r="K193" i="3"/>
  <c r="J193" i="3"/>
  <c r="I193" i="3"/>
  <c r="H193" i="3"/>
  <c r="G193" i="3"/>
  <c r="F193" i="3"/>
  <c r="E193" i="3"/>
  <c r="D193" i="3"/>
  <c r="C193" i="3"/>
  <c r="B193" i="3"/>
  <c r="A193" i="3"/>
  <c r="M192" i="3"/>
  <c r="N192" i="3" s="1"/>
  <c r="L192" i="3"/>
  <c r="K192" i="3"/>
  <c r="J192" i="3"/>
  <c r="I192" i="3"/>
  <c r="H192" i="3"/>
  <c r="G192" i="3"/>
  <c r="F192" i="3"/>
  <c r="E192" i="3"/>
  <c r="D192" i="3"/>
  <c r="C192" i="3"/>
  <c r="B192" i="3"/>
  <c r="A192" i="3"/>
  <c r="L191" i="3"/>
  <c r="K191" i="3"/>
  <c r="J191" i="3"/>
  <c r="I191" i="3"/>
  <c r="M191" i="3" s="1"/>
  <c r="N191" i="3" s="1"/>
  <c r="H191" i="3"/>
  <c r="G191" i="3"/>
  <c r="F191" i="3"/>
  <c r="E191" i="3"/>
  <c r="D191" i="3"/>
  <c r="C191" i="3"/>
  <c r="B191" i="3"/>
  <c r="A191" i="3"/>
  <c r="L190" i="3"/>
  <c r="K190" i="3"/>
  <c r="J190" i="3"/>
  <c r="I190" i="3"/>
  <c r="M190" i="3" s="1"/>
  <c r="N190" i="3" s="1"/>
  <c r="H190" i="3"/>
  <c r="G190" i="3"/>
  <c r="F190" i="3"/>
  <c r="E190" i="3"/>
  <c r="D190" i="3"/>
  <c r="C190" i="3"/>
  <c r="B190" i="3"/>
  <c r="A190" i="3"/>
  <c r="K189" i="3"/>
  <c r="J189" i="3"/>
  <c r="I189" i="3"/>
  <c r="M189" i="3" s="1"/>
  <c r="N189" i="3" s="1"/>
  <c r="H189" i="3"/>
  <c r="G189" i="3"/>
  <c r="F189" i="3"/>
  <c r="E189" i="3"/>
  <c r="D189" i="3"/>
  <c r="C189" i="3"/>
  <c r="B189" i="3"/>
  <c r="L189" i="3" s="1"/>
  <c r="A189" i="3"/>
  <c r="J188" i="3"/>
  <c r="I188" i="3"/>
  <c r="M188" i="3" s="1"/>
  <c r="N188" i="3" s="1"/>
  <c r="H188" i="3"/>
  <c r="G188" i="3"/>
  <c r="F188" i="3"/>
  <c r="E188" i="3"/>
  <c r="D188" i="3"/>
  <c r="C188" i="3"/>
  <c r="B188" i="3"/>
  <c r="K188" i="3" s="1"/>
  <c r="A188" i="3"/>
  <c r="J187" i="3"/>
  <c r="I187" i="3"/>
  <c r="M187" i="3" s="1"/>
  <c r="N187" i="3" s="1"/>
  <c r="H187" i="3"/>
  <c r="G187" i="3"/>
  <c r="F187" i="3"/>
  <c r="E187" i="3"/>
  <c r="D187" i="3"/>
  <c r="C187" i="3"/>
  <c r="B187" i="3"/>
  <c r="L187" i="3" s="1"/>
  <c r="A187" i="3"/>
  <c r="M186" i="3"/>
  <c r="N186" i="3" s="1"/>
  <c r="J186" i="3"/>
  <c r="I186" i="3"/>
  <c r="H186" i="3"/>
  <c r="G186" i="3"/>
  <c r="F186" i="3"/>
  <c r="E186" i="3"/>
  <c r="D186" i="3"/>
  <c r="C186" i="3"/>
  <c r="B186" i="3"/>
  <c r="A186" i="3"/>
  <c r="M185" i="3"/>
  <c r="N185" i="3" s="1"/>
  <c r="L185" i="3"/>
  <c r="K185" i="3"/>
  <c r="J185" i="3"/>
  <c r="I185" i="3"/>
  <c r="H185" i="3"/>
  <c r="G185" i="3"/>
  <c r="F185" i="3"/>
  <c r="E185" i="3"/>
  <c r="D185" i="3"/>
  <c r="C185" i="3"/>
  <c r="B185" i="3"/>
  <c r="A185" i="3"/>
  <c r="M184" i="3"/>
  <c r="N184" i="3" s="1"/>
  <c r="L184" i="3"/>
  <c r="K184" i="3"/>
  <c r="J184" i="3"/>
  <c r="I184" i="3"/>
  <c r="H184" i="3"/>
  <c r="G184" i="3"/>
  <c r="F184" i="3"/>
  <c r="E184" i="3"/>
  <c r="D184" i="3"/>
  <c r="C184" i="3"/>
  <c r="B184" i="3"/>
  <c r="A184" i="3"/>
  <c r="L183" i="3"/>
  <c r="K183" i="3"/>
  <c r="J183" i="3"/>
  <c r="I183" i="3"/>
  <c r="M183" i="3" s="1"/>
  <c r="N183" i="3" s="1"/>
  <c r="H183" i="3"/>
  <c r="G183" i="3"/>
  <c r="F183" i="3"/>
  <c r="E183" i="3"/>
  <c r="D183" i="3"/>
  <c r="C183" i="3"/>
  <c r="B183" i="3"/>
  <c r="A183" i="3"/>
  <c r="L182" i="3"/>
  <c r="K182" i="3"/>
  <c r="J182" i="3"/>
  <c r="I182" i="3"/>
  <c r="M182" i="3" s="1"/>
  <c r="N182" i="3" s="1"/>
  <c r="H182" i="3"/>
  <c r="G182" i="3"/>
  <c r="F182" i="3"/>
  <c r="E182" i="3"/>
  <c r="D182" i="3"/>
  <c r="C182" i="3"/>
  <c r="B182" i="3"/>
  <c r="A182" i="3"/>
  <c r="K181" i="3"/>
  <c r="J181" i="3"/>
  <c r="I181" i="3"/>
  <c r="M181" i="3" s="1"/>
  <c r="N181" i="3" s="1"/>
  <c r="H181" i="3"/>
  <c r="G181" i="3"/>
  <c r="F181" i="3"/>
  <c r="E181" i="3"/>
  <c r="D181" i="3"/>
  <c r="C181" i="3"/>
  <c r="B181" i="3"/>
  <c r="L181" i="3" s="1"/>
  <c r="A181" i="3"/>
  <c r="J180" i="3"/>
  <c r="I180" i="3"/>
  <c r="M180" i="3" s="1"/>
  <c r="N180" i="3" s="1"/>
  <c r="H180" i="3"/>
  <c r="G180" i="3"/>
  <c r="F180" i="3"/>
  <c r="E180" i="3"/>
  <c r="D180" i="3"/>
  <c r="C180" i="3"/>
  <c r="B180" i="3"/>
  <c r="K180" i="3" s="1"/>
  <c r="A180" i="3"/>
  <c r="J179" i="3"/>
  <c r="I179" i="3"/>
  <c r="M179" i="3" s="1"/>
  <c r="N179" i="3" s="1"/>
  <c r="H179" i="3"/>
  <c r="G179" i="3"/>
  <c r="F179" i="3"/>
  <c r="E179" i="3"/>
  <c r="D179" i="3"/>
  <c r="C179" i="3"/>
  <c r="B179" i="3"/>
  <c r="L179" i="3" s="1"/>
  <c r="A179" i="3"/>
  <c r="M178" i="3"/>
  <c r="N178" i="3" s="1"/>
  <c r="J178" i="3"/>
  <c r="I178" i="3"/>
  <c r="H178" i="3"/>
  <c r="G178" i="3"/>
  <c r="F178" i="3"/>
  <c r="E178" i="3"/>
  <c r="D178" i="3"/>
  <c r="C178" i="3"/>
  <c r="B178" i="3"/>
  <c r="A178" i="3"/>
  <c r="M177" i="3"/>
  <c r="N177" i="3" s="1"/>
  <c r="L177" i="3"/>
  <c r="K177" i="3"/>
  <c r="J177" i="3"/>
  <c r="I177" i="3"/>
  <c r="H177" i="3"/>
  <c r="G177" i="3"/>
  <c r="F177" i="3"/>
  <c r="E177" i="3"/>
  <c r="D177" i="3"/>
  <c r="C177" i="3"/>
  <c r="B177" i="3"/>
  <c r="A177" i="3"/>
  <c r="L176" i="3"/>
  <c r="K176" i="3"/>
  <c r="J176" i="3"/>
  <c r="I176" i="3"/>
  <c r="M176" i="3" s="1"/>
  <c r="N176" i="3" s="1"/>
  <c r="H176" i="3"/>
  <c r="G176" i="3"/>
  <c r="F176" i="3"/>
  <c r="E176" i="3"/>
  <c r="D176" i="3"/>
  <c r="C176" i="3"/>
  <c r="B176" i="3"/>
  <c r="A176" i="3"/>
  <c r="L175" i="3"/>
  <c r="K175" i="3"/>
  <c r="J175" i="3"/>
  <c r="I175" i="3"/>
  <c r="M175" i="3" s="1"/>
  <c r="N175" i="3" s="1"/>
  <c r="H175" i="3"/>
  <c r="G175" i="3"/>
  <c r="F175" i="3"/>
  <c r="E175" i="3"/>
  <c r="D175" i="3"/>
  <c r="C175" i="3"/>
  <c r="B175" i="3"/>
  <c r="A175" i="3"/>
  <c r="L174" i="3"/>
  <c r="K174" i="3"/>
  <c r="J174" i="3"/>
  <c r="I174" i="3"/>
  <c r="M174" i="3" s="1"/>
  <c r="N174" i="3" s="1"/>
  <c r="H174" i="3"/>
  <c r="G174" i="3"/>
  <c r="F174" i="3"/>
  <c r="E174" i="3"/>
  <c r="D174" i="3"/>
  <c r="C174" i="3"/>
  <c r="B174" i="3"/>
  <c r="A174" i="3"/>
  <c r="K173" i="3"/>
  <c r="J173" i="3"/>
  <c r="I173" i="3"/>
  <c r="M173" i="3" s="1"/>
  <c r="N173" i="3" s="1"/>
  <c r="H173" i="3"/>
  <c r="G173" i="3"/>
  <c r="F173" i="3"/>
  <c r="E173" i="3"/>
  <c r="D173" i="3"/>
  <c r="C173" i="3"/>
  <c r="B173" i="3"/>
  <c r="L173" i="3" s="1"/>
  <c r="A173" i="3"/>
  <c r="J172" i="3"/>
  <c r="I172" i="3"/>
  <c r="M172" i="3" s="1"/>
  <c r="N172" i="3" s="1"/>
  <c r="H172" i="3"/>
  <c r="G172" i="3"/>
  <c r="F172" i="3"/>
  <c r="E172" i="3"/>
  <c r="D172" i="3"/>
  <c r="C172" i="3"/>
  <c r="B172" i="3"/>
  <c r="K172" i="3" s="1"/>
  <c r="A172" i="3"/>
  <c r="J171" i="3"/>
  <c r="I171" i="3"/>
  <c r="M171" i="3" s="1"/>
  <c r="N171" i="3" s="1"/>
  <c r="H171" i="3"/>
  <c r="G171" i="3"/>
  <c r="F171" i="3"/>
  <c r="E171" i="3"/>
  <c r="D171" i="3"/>
  <c r="C171" i="3"/>
  <c r="B171" i="3"/>
  <c r="L171" i="3" s="1"/>
  <c r="A171" i="3"/>
  <c r="M170" i="3"/>
  <c r="N170" i="3" s="1"/>
  <c r="J170" i="3"/>
  <c r="I170" i="3"/>
  <c r="H170" i="3"/>
  <c r="G170" i="3"/>
  <c r="F170" i="3"/>
  <c r="E170" i="3"/>
  <c r="D170" i="3"/>
  <c r="C170" i="3"/>
  <c r="B170" i="3"/>
  <c r="A170" i="3"/>
  <c r="M169" i="3"/>
  <c r="N169" i="3" s="1"/>
  <c r="L169" i="3"/>
  <c r="K169" i="3"/>
  <c r="J169" i="3"/>
  <c r="I169" i="3"/>
  <c r="H169" i="3"/>
  <c r="G169" i="3"/>
  <c r="F169" i="3"/>
  <c r="E169" i="3"/>
  <c r="D169" i="3"/>
  <c r="C169" i="3"/>
  <c r="B169" i="3"/>
  <c r="A169" i="3"/>
  <c r="L168" i="3"/>
  <c r="K168" i="3"/>
  <c r="J168" i="3"/>
  <c r="I168" i="3"/>
  <c r="M168" i="3" s="1"/>
  <c r="N168" i="3" s="1"/>
  <c r="H168" i="3"/>
  <c r="G168" i="3"/>
  <c r="F168" i="3"/>
  <c r="E168" i="3"/>
  <c r="D168" i="3"/>
  <c r="C168" i="3"/>
  <c r="B168" i="3"/>
  <c r="A168" i="3"/>
  <c r="L167" i="3"/>
  <c r="K167" i="3"/>
  <c r="J167" i="3"/>
  <c r="I167" i="3"/>
  <c r="M167" i="3" s="1"/>
  <c r="N167" i="3" s="1"/>
  <c r="H167" i="3"/>
  <c r="G167" i="3"/>
  <c r="F167" i="3"/>
  <c r="E167" i="3"/>
  <c r="D167" i="3"/>
  <c r="C167" i="3"/>
  <c r="B167" i="3"/>
  <c r="A167" i="3"/>
  <c r="M166" i="3"/>
  <c r="N166" i="3" s="1"/>
  <c r="L166" i="3"/>
  <c r="K166" i="3"/>
  <c r="J166" i="3"/>
  <c r="I166" i="3"/>
  <c r="H166" i="3"/>
  <c r="G166" i="3"/>
  <c r="F166" i="3"/>
  <c r="E166" i="3"/>
  <c r="D166" i="3"/>
  <c r="C166" i="3"/>
  <c r="B166" i="3"/>
  <c r="A166" i="3"/>
  <c r="K165" i="3"/>
  <c r="J165" i="3"/>
  <c r="I165" i="3"/>
  <c r="M165" i="3" s="1"/>
  <c r="N165" i="3" s="1"/>
  <c r="H165" i="3"/>
  <c r="G165" i="3"/>
  <c r="F165" i="3"/>
  <c r="E165" i="3"/>
  <c r="D165" i="3"/>
  <c r="C165" i="3"/>
  <c r="B165" i="3"/>
  <c r="L165" i="3" s="1"/>
  <c r="A165" i="3"/>
  <c r="J164" i="3"/>
  <c r="I164" i="3"/>
  <c r="M164" i="3" s="1"/>
  <c r="N164" i="3" s="1"/>
  <c r="H164" i="3"/>
  <c r="G164" i="3"/>
  <c r="F164" i="3"/>
  <c r="E164" i="3"/>
  <c r="D164" i="3"/>
  <c r="C164" i="3"/>
  <c r="B164" i="3"/>
  <c r="K164" i="3" s="1"/>
  <c r="A164" i="3"/>
  <c r="J163" i="3"/>
  <c r="I163" i="3"/>
  <c r="M163" i="3" s="1"/>
  <c r="N163" i="3" s="1"/>
  <c r="H163" i="3"/>
  <c r="G163" i="3"/>
  <c r="F163" i="3"/>
  <c r="E163" i="3"/>
  <c r="D163" i="3"/>
  <c r="C163" i="3"/>
  <c r="B163" i="3"/>
  <c r="L163" i="3" s="1"/>
  <c r="A163" i="3"/>
  <c r="M162" i="3"/>
  <c r="N162" i="3" s="1"/>
  <c r="J162" i="3"/>
  <c r="I162" i="3"/>
  <c r="H162" i="3"/>
  <c r="G162" i="3"/>
  <c r="F162" i="3"/>
  <c r="E162" i="3"/>
  <c r="D162" i="3"/>
  <c r="C162" i="3"/>
  <c r="B162" i="3"/>
  <c r="A162" i="3"/>
  <c r="M161" i="3"/>
  <c r="N161" i="3" s="1"/>
  <c r="L161" i="3"/>
  <c r="K161" i="3"/>
  <c r="J161" i="3"/>
  <c r="I161" i="3"/>
  <c r="H161" i="3"/>
  <c r="G161" i="3"/>
  <c r="F161" i="3"/>
  <c r="E161" i="3"/>
  <c r="D161" i="3"/>
  <c r="C161" i="3"/>
  <c r="B161" i="3"/>
  <c r="A161" i="3"/>
  <c r="L160" i="3"/>
  <c r="K160" i="3"/>
  <c r="J160" i="3"/>
  <c r="I160" i="3"/>
  <c r="M160" i="3" s="1"/>
  <c r="N160" i="3" s="1"/>
  <c r="H160" i="3"/>
  <c r="G160" i="3"/>
  <c r="F160" i="3"/>
  <c r="E160" i="3"/>
  <c r="D160" i="3"/>
  <c r="C160" i="3"/>
  <c r="B160" i="3"/>
  <c r="A160" i="3"/>
  <c r="L159" i="3"/>
  <c r="K159" i="3"/>
  <c r="J159" i="3"/>
  <c r="I159" i="3"/>
  <c r="M159" i="3" s="1"/>
  <c r="N159" i="3" s="1"/>
  <c r="H159" i="3"/>
  <c r="G159" i="3"/>
  <c r="F159" i="3"/>
  <c r="E159" i="3"/>
  <c r="D159" i="3"/>
  <c r="C159" i="3"/>
  <c r="B159" i="3"/>
  <c r="A159" i="3"/>
  <c r="M158" i="3"/>
  <c r="N158" i="3" s="1"/>
  <c r="L158" i="3"/>
  <c r="K158" i="3"/>
  <c r="J158" i="3"/>
  <c r="I158" i="3"/>
  <c r="H158" i="3"/>
  <c r="G158" i="3"/>
  <c r="F158" i="3"/>
  <c r="E158" i="3"/>
  <c r="D158" i="3"/>
  <c r="C158" i="3"/>
  <c r="B158" i="3"/>
  <c r="A158" i="3"/>
  <c r="K157" i="3"/>
  <c r="J157" i="3"/>
  <c r="I157" i="3"/>
  <c r="M157" i="3" s="1"/>
  <c r="N157" i="3" s="1"/>
  <c r="H157" i="3"/>
  <c r="G157" i="3"/>
  <c r="F157" i="3"/>
  <c r="E157" i="3"/>
  <c r="D157" i="3"/>
  <c r="C157" i="3"/>
  <c r="B157" i="3"/>
  <c r="L157" i="3" s="1"/>
  <c r="A157" i="3"/>
  <c r="J156" i="3"/>
  <c r="I156" i="3"/>
  <c r="M156" i="3" s="1"/>
  <c r="N156" i="3" s="1"/>
  <c r="H156" i="3"/>
  <c r="G156" i="3"/>
  <c r="F156" i="3"/>
  <c r="E156" i="3"/>
  <c r="D156" i="3"/>
  <c r="C156" i="3"/>
  <c r="B156" i="3"/>
  <c r="A156" i="3"/>
  <c r="J155" i="3"/>
  <c r="I155" i="3"/>
  <c r="M155" i="3" s="1"/>
  <c r="N155" i="3" s="1"/>
  <c r="H155" i="3"/>
  <c r="G155" i="3"/>
  <c r="F155" i="3"/>
  <c r="E155" i="3"/>
  <c r="D155" i="3"/>
  <c r="C155" i="3"/>
  <c r="B155" i="3"/>
  <c r="L155" i="3" s="1"/>
  <c r="A155" i="3"/>
  <c r="N154" i="3"/>
  <c r="M154" i="3"/>
  <c r="J154" i="3"/>
  <c r="I154" i="3"/>
  <c r="H154" i="3"/>
  <c r="G154" i="3"/>
  <c r="F154" i="3"/>
  <c r="E154" i="3"/>
  <c r="D154" i="3"/>
  <c r="C154" i="3"/>
  <c r="B154" i="3"/>
  <c r="A154" i="3"/>
  <c r="M153" i="3"/>
  <c r="N153" i="3" s="1"/>
  <c r="L153" i="3"/>
  <c r="K153" i="3"/>
  <c r="J153" i="3"/>
  <c r="I153" i="3"/>
  <c r="H153" i="3"/>
  <c r="G153" i="3"/>
  <c r="F153" i="3"/>
  <c r="E153" i="3"/>
  <c r="D153" i="3"/>
  <c r="C153" i="3"/>
  <c r="B153" i="3"/>
  <c r="A153" i="3"/>
  <c r="L152" i="3"/>
  <c r="K152" i="3"/>
  <c r="J152" i="3"/>
  <c r="I152" i="3"/>
  <c r="M152" i="3" s="1"/>
  <c r="N152" i="3" s="1"/>
  <c r="H152" i="3"/>
  <c r="G152" i="3"/>
  <c r="F152" i="3"/>
  <c r="E152" i="3"/>
  <c r="D152" i="3"/>
  <c r="C152" i="3"/>
  <c r="B152" i="3"/>
  <c r="A152" i="3"/>
  <c r="L151" i="3"/>
  <c r="K151" i="3"/>
  <c r="J151" i="3"/>
  <c r="I151" i="3"/>
  <c r="M151" i="3" s="1"/>
  <c r="N151" i="3" s="1"/>
  <c r="H151" i="3"/>
  <c r="G151" i="3"/>
  <c r="F151" i="3"/>
  <c r="E151" i="3"/>
  <c r="D151" i="3"/>
  <c r="C151" i="3"/>
  <c r="B151" i="3"/>
  <c r="A151" i="3"/>
  <c r="M150" i="3"/>
  <c r="N150" i="3" s="1"/>
  <c r="L150" i="3"/>
  <c r="K150" i="3"/>
  <c r="J150" i="3"/>
  <c r="I150" i="3"/>
  <c r="H150" i="3"/>
  <c r="G150" i="3"/>
  <c r="F150" i="3"/>
  <c r="E150" i="3"/>
  <c r="D150" i="3"/>
  <c r="C150" i="3"/>
  <c r="B150" i="3"/>
  <c r="A150" i="3"/>
  <c r="K149" i="3"/>
  <c r="J149" i="3"/>
  <c r="I149" i="3"/>
  <c r="M149" i="3" s="1"/>
  <c r="N149" i="3" s="1"/>
  <c r="H149" i="3"/>
  <c r="G149" i="3"/>
  <c r="F149" i="3"/>
  <c r="E149" i="3"/>
  <c r="D149" i="3"/>
  <c r="C149" i="3"/>
  <c r="B149" i="3"/>
  <c r="L149" i="3" s="1"/>
  <c r="A149" i="3"/>
  <c r="J148" i="3"/>
  <c r="I148" i="3"/>
  <c r="M148" i="3" s="1"/>
  <c r="N148" i="3" s="1"/>
  <c r="H148" i="3"/>
  <c r="G148" i="3"/>
  <c r="F148" i="3"/>
  <c r="E148" i="3"/>
  <c r="D148" i="3"/>
  <c r="C148" i="3"/>
  <c r="B148" i="3"/>
  <c r="A148" i="3"/>
  <c r="J147" i="3"/>
  <c r="I147" i="3"/>
  <c r="M147" i="3" s="1"/>
  <c r="N147" i="3" s="1"/>
  <c r="H147" i="3"/>
  <c r="G147" i="3"/>
  <c r="F147" i="3"/>
  <c r="E147" i="3"/>
  <c r="D147" i="3"/>
  <c r="C147" i="3"/>
  <c r="B147" i="3"/>
  <c r="A147" i="3"/>
  <c r="N146" i="3"/>
  <c r="M146" i="3"/>
  <c r="J146" i="3"/>
  <c r="I146" i="3"/>
  <c r="H146" i="3"/>
  <c r="G146" i="3"/>
  <c r="F146" i="3"/>
  <c r="E146" i="3"/>
  <c r="D146" i="3"/>
  <c r="C146" i="3"/>
  <c r="B146" i="3"/>
  <c r="A146" i="3"/>
  <c r="M145" i="3"/>
  <c r="N145" i="3" s="1"/>
  <c r="L145" i="3"/>
  <c r="K145" i="3"/>
  <c r="J145" i="3"/>
  <c r="I145" i="3"/>
  <c r="H145" i="3"/>
  <c r="G145" i="3"/>
  <c r="F145" i="3"/>
  <c r="E145" i="3"/>
  <c r="D145" i="3"/>
  <c r="C145" i="3"/>
  <c r="B145" i="3"/>
  <c r="A145" i="3"/>
  <c r="L144" i="3"/>
  <c r="K144" i="3"/>
  <c r="J144" i="3"/>
  <c r="I144" i="3"/>
  <c r="M144" i="3" s="1"/>
  <c r="N144" i="3" s="1"/>
  <c r="H144" i="3"/>
  <c r="G144" i="3"/>
  <c r="F144" i="3"/>
  <c r="E144" i="3"/>
  <c r="D144" i="3"/>
  <c r="C144" i="3"/>
  <c r="B144" i="3"/>
  <c r="A144" i="3"/>
  <c r="L143" i="3"/>
  <c r="K143" i="3"/>
  <c r="J143" i="3"/>
  <c r="I143" i="3"/>
  <c r="M143" i="3" s="1"/>
  <c r="N143" i="3" s="1"/>
  <c r="H143" i="3"/>
  <c r="G143" i="3"/>
  <c r="F143" i="3"/>
  <c r="E143" i="3"/>
  <c r="D143" i="3"/>
  <c r="C143" i="3"/>
  <c r="B143" i="3"/>
  <c r="A143" i="3"/>
  <c r="M142" i="3"/>
  <c r="N142" i="3" s="1"/>
  <c r="L142" i="3"/>
  <c r="K142" i="3"/>
  <c r="J142" i="3"/>
  <c r="I142" i="3"/>
  <c r="H142" i="3"/>
  <c r="G142" i="3"/>
  <c r="F142" i="3"/>
  <c r="E142" i="3"/>
  <c r="D142" i="3"/>
  <c r="C142" i="3"/>
  <c r="B142" i="3"/>
  <c r="A142" i="3"/>
  <c r="K141" i="3"/>
  <c r="J141" i="3"/>
  <c r="I141" i="3"/>
  <c r="M141" i="3" s="1"/>
  <c r="N141" i="3" s="1"/>
  <c r="H141" i="3"/>
  <c r="G141" i="3"/>
  <c r="F141" i="3"/>
  <c r="E141" i="3"/>
  <c r="D141" i="3"/>
  <c r="C141" i="3"/>
  <c r="B141" i="3"/>
  <c r="L141" i="3" s="1"/>
  <c r="A141" i="3"/>
  <c r="J140" i="3"/>
  <c r="I140" i="3"/>
  <c r="M140" i="3" s="1"/>
  <c r="N140" i="3" s="1"/>
  <c r="H140" i="3"/>
  <c r="G140" i="3"/>
  <c r="F140" i="3"/>
  <c r="E140" i="3"/>
  <c r="D140" i="3"/>
  <c r="C140" i="3"/>
  <c r="B140" i="3"/>
  <c r="A140" i="3"/>
  <c r="J139" i="3"/>
  <c r="I139" i="3"/>
  <c r="M139" i="3" s="1"/>
  <c r="N139" i="3" s="1"/>
  <c r="H139" i="3"/>
  <c r="G139" i="3"/>
  <c r="F139" i="3"/>
  <c r="E139" i="3"/>
  <c r="D139" i="3"/>
  <c r="C139" i="3"/>
  <c r="B139" i="3"/>
  <c r="A139" i="3"/>
  <c r="N138" i="3"/>
  <c r="M138" i="3"/>
  <c r="J138" i="3"/>
  <c r="I138" i="3"/>
  <c r="H138" i="3"/>
  <c r="G138" i="3"/>
  <c r="F138" i="3"/>
  <c r="E138" i="3"/>
  <c r="D138" i="3"/>
  <c r="C138" i="3"/>
  <c r="B138" i="3"/>
  <c r="A138" i="3"/>
  <c r="M137" i="3"/>
  <c r="N137" i="3" s="1"/>
  <c r="L137" i="3"/>
  <c r="K137" i="3"/>
  <c r="J137" i="3"/>
  <c r="I137" i="3"/>
  <c r="H137" i="3"/>
  <c r="G137" i="3"/>
  <c r="F137" i="3"/>
  <c r="E137" i="3"/>
  <c r="D137" i="3"/>
  <c r="C137" i="3"/>
  <c r="B137" i="3"/>
  <c r="A137" i="3"/>
  <c r="L136" i="3"/>
  <c r="K136" i="3"/>
  <c r="J136" i="3"/>
  <c r="I136" i="3"/>
  <c r="M136" i="3" s="1"/>
  <c r="N136" i="3" s="1"/>
  <c r="H136" i="3"/>
  <c r="G136" i="3"/>
  <c r="F136" i="3"/>
  <c r="E136" i="3"/>
  <c r="D136" i="3"/>
  <c r="C136" i="3"/>
  <c r="B136" i="3"/>
  <c r="A136" i="3"/>
  <c r="L135" i="3"/>
  <c r="K135" i="3"/>
  <c r="J135" i="3"/>
  <c r="I135" i="3"/>
  <c r="M135" i="3" s="1"/>
  <c r="N135" i="3" s="1"/>
  <c r="H135" i="3"/>
  <c r="G135" i="3"/>
  <c r="F135" i="3"/>
  <c r="E135" i="3"/>
  <c r="D135" i="3"/>
  <c r="C135" i="3"/>
  <c r="B135" i="3"/>
  <c r="A135" i="3"/>
  <c r="L134" i="3"/>
  <c r="K134" i="3"/>
  <c r="J134" i="3"/>
  <c r="I134" i="3"/>
  <c r="M134" i="3" s="1"/>
  <c r="N134" i="3" s="1"/>
  <c r="H134" i="3"/>
  <c r="G134" i="3"/>
  <c r="F134" i="3"/>
  <c r="E134" i="3"/>
  <c r="D134" i="3"/>
  <c r="C134" i="3"/>
  <c r="B134" i="3"/>
  <c r="A134" i="3"/>
  <c r="K133" i="3"/>
  <c r="J133" i="3"/>
  <c r="I133" i="3"/>
  <c r="M133" i="3" s="1"/>
  <c r="N133" i="3" s="1"/>
  <c r="H133" i="3"/>
  <c r="G133" i="3"/>
  <c r="F133" i="3"/>
  <c r="E133" i="3"/>
  <c r="D133" i="3"/>
  <c r="C133" i="3"/>
  <c r="B133" i="3"/>
  <c r="L133" i="3" s="1"/>
  <c r="A133" i="3"/>
  <c r="J132" i="3"/>
  <c r="I132" i="3"/>
  <c r="M132" i="3" s="1"/>
  <c r="N132" i="3" s="1"/>
  <c r="H132" i="3"/>
  <c r="G132" i="3"/>
  <c r="F132" i="3"/>
  <c r="E132" i="3"/>
  <c r="D132" i="3"/>
  <c r="C132" i="3"/>
  <c r="B132" i="3"/>
  <c r="A132" i="3"/>
  <c r="J131" i="3"/>
  <c r="I131" i="3"/>
  <c r="M131" i="3" s="1"/>
  <c r="N131" i="3" s="1"/>
  <c r="H131" i="3"/>
  <c r="G131" i="3"/>
  <c r="F131" i="3"/>
  <c r="E131" i="3"/>
  <c r="D131" i="3"/>
  <c r="C131" i="3"/>
  <c r="B131" i="3"/>
  <c r="A131" i="3"/>
  <c r="M130" i="3"/>
  <c r="N130" i="3" s="1"/>
  <c r="J130" i="3"/>
  <c r="I130" i="3"/>
  <c r="H130" i="3"/>
  <c r="G130" i="3"/>
  <c r="F130" i="3"/>
  <c r="E130" i="3"/>
  <c r="D130" i="3"/>
  <c r="C130" i="3"/>
  <c r="B130" i="3"/>
  <c r="A130" i="3"/>
  <c r="M129" i="3"/>
  <c r="N129" i="3" s="1"/>
  <c r="L129" i="3"/>
  <c r="J129" i="3"/>
  <c r="I129" i="3"/>
  <c r="H129" i="3"/>
  <c r="G129" i="3"/>
  <c r="F129" i="3"/>
  <c r="E129" i="3"/>
  <c r="D129" i="3"/>
  <c r="C129" i="3"/>
  <c r="B129" i="3"/>
  <c r="K129" i="3" s="1"/>
  <c r="A129" i="3"/>
  <c r="L128" i="3"/>
  <c r="K128" i="3"/>
  <c r="J128" i="3"/>
  <c r="M128" i="3" s="1"/>
  <c r="N128" i="3" s="1"/>
  <c r="I128" i="3"/>
  <c r="H128" i="3"/>
  <c r="G128" i="3"/>
  <c r="F128" i="3"/>
  <c r="E128" i="3"/>
  <c r="D128" i="3"/>
  <c r="C128" i="3"/>
  <c r="B128" i="3"/>
  <c r="A128" i="3"/>
  <c r="L127" i="3"/>
  <c r="K127" i="3"/>
  <c r="J127" i="3"/>
  <c r="I127" i="3"/>
  <c r="M127" i="3" s="1"/>
  <c r="N127" i="3" s="1"/>
  <c r="H127" i="3"/>
  <c r="G127" i="3"/>
  <c r="F127" i="3"/>
  <c r="E127" i="3"/>
  <c r="D127" i="3"/>
  <c r="C127" i="3"/>
  <c r="B127" i="3"/>
  <c r="A127" i="3"/>
  <c r="L126" i="3"/>
  <c r="K126" i="3"/>
  <c r="J126" i="3"/>
  <c r="I126" i="3"/>
  <c r="M126" i="3" s="1"/>
  <c r="N126" i="3" s="1"/>
  <c r="H126" i="3"/>
  <c r="G126" i="3"/>
  <c r="F126" i="3"/>
  <c r="E126" i="3"/>
  <c r="D126" i="3"/>
  <c r="C126" i="3"/>
  <c r="B126" i="3"/>
  <c r="A126" i="3"/>
  <c r="K125" i="3"/>
  <c r="J125" i="3"/>
  <c r="I125" i="3"/>
  <c r="H125" i="3"/>
  <c r="G125" i="3"/>
  <c r="F125" i="3"/>
  <c r="E125" i="3"/>
  <c r="D125" i="3"/>
  <c r="C125" i="3"/>
  <c r="B125" i="3"/>
  <c r="L125" i="3" s="1"/>
  <c r="A125" i="3"/>
  <c r="J124" i="3"/>
  <c r="I124" i="3"/>
  <c r="M124" i="3" s="1"/>
  <c r="N124" i="3" s="1"/>
  <c r="H124" i="3"/>
  <c r="G124" i="3"/>
  <c r="F124" i="3"/>
  <c r="E124" i="3"/>
  <c r="D124" i="3"/>
  <c r="C124" i="3"/>
  <c r="B124" i="3"/>
  <c r="A124" i="3"/>
  <c r="J123" i="3"/>
  <c r="I123" i="3"/>
  <c r="M123" i="3" s="1"/>
  <c r="N123" i="3" s="1"/>
  <c r="H123" i="3"/>
  <c r="G123" i="3"/>
  <c r="F123" i="3"/>
  <c r="E123" i="3"/>
  <c r="D123" i="3"/>
  <c r="C123" i="3"/>
  <c r="B123" i="3"/>
  <c r="A123" i="3"/>
  <c r="N122" i="3"/>
  <c r="M122" i="3"/>
  <c r="J122" i="3"/>
  <c r="I122" i="3"/>
  <c r="H122" i="3"/>
  <c r="G122" i="3"/>
  <c r="F122" i="3"/>
  <c r="E122" i="3"/>
  <c r="D122" i="3"/>
  <c r="C122" i="3"/>
  <c r="B122" i="3"/>
  <c r="A122" i="3"/>
  <c r="N121" i="3"/>
  <c r="M121" i="3"/>
  <c r="K121" i="3"/>
  <c r="J121" i="3"/>
  <c r="I121" i="3"/>
  <c r="H121" i="3"/>
  <c r="G121" i="3"/>
  <c r="F121" i="3"/>
  <c r="E121" i="3"/>
  <c r="D121" i="3"/>
  <c r="C121" i="3"/>
  <c r="B121" i="3"/>
  <c r="L121" i="3" s="1"/>
  <c r="A121" i="3"/>
  <c r="M120" i="3"/>
  <c r="N120" i="3" s="1"/>
  <c r="L120" i="3"/>
  <c r="K120" i="3"/>
  <c r="J120" i="3"/>
  <c r="I120" i="3"/>
  <c r="H120" i="3"/>
  <c r="G120" i="3"/>
  <c r="F120" i="3"/>
  <c r="E120" i="3"/>
  <c r="D120" i="3"/>
  <c r="C120" i="3"/>
  <c r="B120" i="3"/>
  <c r="A120" i="3"/>
  <c r="L119" i="3"/>
  <c r="K119" i="3"/>
  <c r="J119" i="3"/>
  <c r="M119" i="3" s="1"/>
  <c r="N119" i="3" s="1"/>
  <c r="I119" i="3"/>
  <c r="H119" i="3"/>
  <c r="G119" i="3"/>
  <c r="F119" i="3"/>
  <c r="E119" i="3"/>
  <c r="D119" i="3"/>
  <c r="C119" i="3"/>
  <c r="B119" i="3"/>
  <c r="A119" i="3"/>
  <c r="L118" i="3"/>
  <c r="K118" i="3"/>
  <c r="J118" i="3"/>
  <c r="I118" i="3"/>
  <c r="M118" i="3" s="1"/>
  <c r="N118" i="3" s="1"/>
  <c r="H118" i="3"/>
  <c r="G118" i="3"/>
  <c r="F118" i="3"/>
  <c r="E118" i="3"/>
  <c r="D118" i="3"/>
  <c r="C118" i="3"/>
  <c r="B118" i="3"/>
  <c r="A118" i="3"/>
  <c r="K117" i="3"/>
  <c r="J117" i="3"/>
  <c r="I117" i="3"/>
  <c r="M117" i="3" s="1"/>
  <c r="N117" i="3" s="1"/>
  <c r="H117" i="3"/>
  <c r="G117" i="3"/>
  <c r="F117" i="3"/>
  <c r="E117" i="3"/>
  <c r="D117" i="3"/>
  <c r="C117" i="3"/>
  <c r="B117" i="3"/>
  <c r="L117" i="3" s="1"/>
  <c r="A117" i="3"/>
  <c r="J116" i="3"/>
  <c r="I116" i="3"/>
  <c r="M116" i="3" s="1"/>
  <c r="N116" i="3" s="1"/>
  <c r="H116" i="3"/>
  <c r="G116" i="3"/>
  <c r="F116" i="3"/>
  <c r="E116" i="3"/>
  <c r="D116" i="3"/>
  <c r="C116" i="3"/>
  <c r="B116" i="3"/>
  <c r="A116" i="3"/>
  <c r="J115" i="3"/>
  <c r="I115" i="3"/>
  <c r="M115" i="3" s="1"/>
  <c r="N115" i="3" s="1"/>
  <c r="H115" i="3"/>
  <c r="G115" i="3"/>
  <c r="F115" i="3"/>
  <c r="E115" i="3"/>
  <c r="D115" i="3"/>
  <c r="C115" i="3"/>
  <c r="B115" i="3"/>
  <c r="A115" i="3"/>
  <c r="N114" i="3"/>
  <c r="M114" i="3"/>
  <c r="J114" i="3"/>
  <c r="I114" i="3"/>
  <c r="H114" i="3"/>
  <c r="G114" i="3"/>
  <c r="F114" i="3"/>
  <c r="E114" i="3"/>
  <c r="D114" i="3"/>
  <c r="C114" i="3"/>
  <c r="B114" i="3"/>
  <c r="A114" i="3"/>
  <c r="M113" i="3"/>
  <c r="N113" i="3" s="1"/>
  <c r="J113" i="3"/>
  <c r="I113" i="3"/>
  <c r="H113" i="3"/>
  <c r="G113" i="3"/>
  <c r="F113" i="3"/>
  <c r="E113" i="3"/>
  <c r="D113" i="3"/>
  <c r="C113" i="3"/>
  <c r="B113" i="3"/>
  <c r="L113" i="3" s="1"/>
  <c r="A113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112" i="3"/>
  <c r="M111" i="3"/>
  <c r="N111" i="3" s="1"/>
  <c r="L111" i="3"/>
  <c r="J111" i="3"/>
  <c r="I111" i="3"/>
  <c r="H111" i="3"/>
  <c r="G111" i="3"/>
  <c r="F111" i="3"/>
  <c r="E111" i="3"/>
  <c r="D111" i="3"/>
  <c r="C111" i="3"/>
  <c r="B111" i="3"/>
  <c r="K111" i="3" s="1"/>
  <c r="A111" i="3"/>
  <c r="L110" i="3"/>
  <c r="K110" i="3"/>
  <c r="J110" i="3"/>
  <c r="I110" i="3"/>
  <c r="M110" i="3" s="1"/>
  <c r="N110" i="3" s="1"/>
  <c r="H110" i="3"/>
  <c r="G110" i="3"/>
  <c r="F110" i="3"/>
  <c r="E110" i="3"/>
  <c r="D110" i="3"/>
  <c r="C110" i="3"/>
  <c r="B110" i="3"/>
  <c r="A110" i="3"/>
  <c r="K109" i="3"/>
  <c r="J109" i="3"/>
  <c r="I109" i="3"/>
  <c r="H109" i="3"/>
  <c r="G109" i="3"/>
  <c r="F109" i="3"/>
  <c r="E109" i="3"/>
  <c r="D109" i="3"/>
  <c r="C109" i="3"/>
  <c r="B109" i="3"/>
  <c r="L109" i="3" s="1"/>
  <c r="A109" i="3"/>
  <c r="J108" i="3"/>
  <c r="I108" i="3"/>
  <c r="M108" i="3" s="1"/>
  <c r="N108" i="3" s="1"/>
  <c r="H108" i="3"/>
  <c r="G108" i="3"/>
  <c r="F108" i="3"/>
  <c r="E108" i="3"/>
  <c r="D108" i="3"/>
  <c r="C108" i="3"/>
  <c r="B108" i="3"/>
  <c r="K108" i="3" s="1"/>
  <c r="A108" i="3"/>
  <c r="J107" i="3"/>
  <c r="I107" i="3"/>
  <c r="H107" i="3"/>
  <c r="G107" i="3"/>
  <c r="F107" i="3"/>
  <c r="E107" i="3"/>
  <c r="D107" i="3"/>
  <c r="C107" i="3"/>
  <c r="B107" i="3"/>
  <c r="A107" i="3"/>
  <c r="M106" i="3"/>
  <c r="N106" i="3" s="1"/>
  <c r="J106" i="3"/>
  <c r="I106" i="3"/>
  <c r="H106" i="3"/>
  <c r="G106" i="3"/>
  <c r="F106" i="3"/>
  <c r="E106" i="3"/>
  <c r="D106" i="3"/>
  <c r="C106" i="3"/>
  <c r="B106" i="3"/>
  <c r="A106" i="3"/>
  <c r="N105" i="3"/>
  <c r="M105" i="3"/>
  <c r="K105" i="3"/>
  <c r="J105" i="3"/>
  <c r="I105" i="3"/>
  <c r="H105" i="3"/>
  <c r="G105" i="3"/>
  <c r="F105" i="3"/>
  <c r="E105" i="3"/>
  <c r="D105" i="3"/>
  <c r="C105" i="3"/>
  <c r="B105" i="3"/>
  <c r="L105" i="3" s="1"/>
  <c r="A105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104" i="3"/>
  <c r="M103" i="3"/>
  <c r="N103" i="3" s="1"/>
  <c r="J103" i="3"/>
  <c r="I103" i="3"/>
  <c r="H103" i="3"/>
  <c r="G103" i="3"/>
  <c r="F103" i="3"/>
  <c r="E103" i="3"/>
  <c r="D103" i="3"/>
  <c r="C103" i="3"/>
  <c r="B103" i="3"/>
  <c r="L103" i="3" s="1"/>
  <c r="A103" i="3"/>
  <c r="M102" i="3"/>
  <c r="N102" i="3" s="1"/>
  <c r="L102" i="3"/>
  <c r="K102" i="3"/>
  <c r="J102" i="3"/>
  <c r="I102" i="3"/>
  <c r="H102" i="3"/>
  <c r="G102" i="3"/>
  <c r="F102" i="3"/>
  <c r="E102" i="3"/>
  <c r="D102" i="3"/>
  <c r="C102" i="3"/>
  <c r="B102" i="3"/>
  <c r="A102" i="3"/>
  <c r="K101" i="3"/>
  <c r="J101" i="3"/>
  <c r="I101" i="3"/>
  <c r="M101" i="3" s="1"/>
  <c r="N101" i="3" s="1"/>
  <c r="H101" i="3"/>
  <c r="G101" i="3"/>
  <c r="F101" i="3"/>
  <c r="E101" i="3"/>
  <c r="D101" i="3"/>
  <c r="C101" i="3"/>
  <c r="B101" i="3"/>
  <c r="L101" i="3" s="1"/>
  <c r="A101" i="3"/>
  <c r="L100" i="3"/>
  <c r="J100" i="3"/>
  <c r="I100" i="3"/>
  <c r="M100" i="3" s="1"/>
  <c r="N100" i="3" s="1"/>
  <c r="H100" i="3"/>
  <c r="G100" i="3"/>
  <c r="F100" i="3"/>
  <c r="E100" i="3"/>
  <c r="D100" i="3"/>
  <c r="C100" i="3"/>
  <c r="B100" i="3"/>
  <c r="K100" i="3" s="1"/>
  <c r="A100" i="3"/>
  <c r="J99" i="3"/>
  <c r="I99" i="3"/>
  <c r="H99" i="3"/>
  <c r="G99" i="3"/>
  <c r="F99" i="3"/>
  <c r="E99" i="3"/>
  <c r="D99" i="3"/>
  <c r="C99" i="3"/>
  <c r="B99" i="3"/>
  <c r="A99" i="3"/>
  <c r="M98" i="3"/>
  <c r="N98" i="3" s="1"/>
  <c r="J98" i="3"/>
  <c r="I98" i="3"/>
  <c r="H98" i="3"/>
  <c r="G98" i="3"/>
  <c r="F98" i="3"/>
  <c r="E98" i="3"/>
  <c r="D98" i="3"/>
  <c r="C98" i="3"/>
  <c r="B98" i="3"/>
  <c r="A98" i="3"/>
  <c r="M97" i="3"/>
  <c r="N97" i="3" s="1"/>
  <c r="K97" i="3"/>
  <c r="J97" i="3"/>
  <c r="I97" i="3"/>
  <c r="H97" i="3"/>
  <c r="G97" i="3"/>
  <c r="F97" i="3"/>
  <c r="E97" i="3"/>
  <c r="D97" i="3"/>
  <c r="C97" i="3"/>
  <c r="B97" i="3"/>
  <c r="L97" i="3" s="1"/>
  <c r="A97" i="3"/>
  <c r="L96" i="3"/>
  <c r="K96" i="3"/>
  <c r="J96" i="3"/>
  <c r="I96" i="3"/>
  <c r="M96" i="3" s="1"/>
  <c r="N96" i="3" s="1"/>
  <c r="H96" i="3"/>
  <c r="G96" i="3"/>
  <c r="F96" i="3"/>
  <c r="E96" i="3"/>
  <c r="D96" i="3"/>
  <c r="C96" i="3"/>
  <c r="B96" i="3"/>
  <c r="A96" i="3"/>
  <c r="J95" i="3"/>
  <c r="I95" i="3"/>
  <c r="M95" i="3" s="1"/>
  <c r="N95" i="3" s="1"/>
  <c r="H95" i="3"/>
  <c r="G95" i="3"/>
  <c r="F95" i="3"/>
  <c r="E95" i="3"/>
  <c r="D95" i="3"/>
  <c r="C95" i="3"/>
  <c r="B95" i="3"/>
  <c r="L95" i="3" s="1"/>
  <c r="A95" i="3"/>
  <c r="M94" i="3"/>
  <c r="N94" i="3" s="1"/>
  <c r="L94" i="3"/>
  <c r="K94" i="3"/>
  <c r="J94" i="3"/>
  <c r="I94" i="3"/>
  <c r="H94" i="3"/>
  <c r="G94" i="3"/>
  <c r="F94" i="3"/>
  <c r="E94" i="3"/>
  <c r="D94" i="3"/>
  <c r="C94" i="3"/>
  <c r="B94" i="3"/>
  <c r="A94" i="3"/>
  <c r="K93" i="3"/>
  <c r="J93" i="3"/>
  <c r="I93" i="3"/>
  <c r="H93" i="3"/>
  <c r="G93" i="3"/>
  <c r="F93" i="3"/>
  <c r="E93" i="3"/>
  <c r="D93" i="3"/>
  <c r="C93" i="3"/>
  <c r="B93" i="3"/>
  <c r="L93" i="3" s="1"/>
  <c r="A93" i="3"/>
  <c r="L92" i="3"/>
  <c r="J92" i="3"/>
  <c r="I92" i="3"/>
  <c r="M92" i="3" s="1"/>
  <c r="N92" i="3" s="1"/>
  <c r="H92" i="3"/>
  <c r="G92" i="3"/>
  <c r="F92" i="3"/>
  <c r="E92" i="3"/>
  <c r="D92" i="3"/>
  <c r="C92" i="3"/>
  <c r="B92" i="3"/>
  <c r="K92" i="3" s="1"/>
  <c r="A92" i="3"/>
  <c r="J91" i="3"/>
  <c r="I91" i="3"/>
  <c r="M91" i="3" s="1"/>
  <c r="N91" i="3" s="1"/>
  <c r="H91" i="3"/>
  <c r="G91" i="3"/>
  <c r="F91" i="3"/>
  <c r="E91" i="3"/>
  <c r="D91" i="3"/>
  <c r="C91" i="3"/>
  <c r="B91" i="3"/>
  <c r="A91" i="3"/>
  <c r="M90" i="3"/>
  <c r="N90" i="3" s="1"/>
  <c r="J90" i="3"/>
  <c r="I90" i="3"/>
  <c r="H90" i="3"/>
  <c r="G90" i="3"/>
  <c r="F90" i="3"/>
  <c r="E90" i="3"/>
  <c r="D90" i="3"/>
  <c r="C90" i="3"/>
  <c r="B90" i="3"/>
  <c r="A90" i="3"/>
  <c r="M89" i="3"/>
  <c r="N89" i="3" s="1"/>
  <c r="L89" i="3"/>
  <c r="J89" i="3"/>
  <c r="I89" i="3"/>
  <c r="H89" i="3"/>
  <c r="G89" i="3"/>
  <c r="F89" i="3"/>
  <c r="E89" i="3"/>
  <c r="D89" i="3"/>
  <c r="C89" i="3"/>
  <c r="B89" i="3"/>
  <c r="K89" i="3" s="1"/>
  <c r="A89" i="3"/>
  <c r="L88" i="3"/>
  <c r="K88" i="3"/>
  <c r="J88" i="3"/>
  <c r="M88" i="3" s="1"/>
  <c r="N88" i="3" s="1"/>
  <c r="I88" i="3"/>
  <c r="H88" i="3"/>
  <c r="G88" i="3"/>
  <c r="F88" i="3"/>
  <c r="E88" i="3"/>
  <c r="D88" i="3"/>
  <c r="C88" i="3"/>
  <c r="B88" i="3"/>
  <c r="A88" i="3"/>
  <c r="K87" i="3"/>
  <c r="J87" i="3"/>
  <c r="I87" i="3"/>
  <c r="M87" i="3" s="1"/>
  <c r="N87" i="3" s="1"/>
  <c r="H87" i="3"/>
  <c r="G87" i="3"/>
  <c r="F87" i="3"/>
  <c r="E87" i="3"/>
  <c r="D87" i="3"/>
  <c r="C87" i="3"/>
  <c r="B87" i="3"/>
  <c r="L87" i="3" s="1"/>
  <c r="A87" i="3"/>
  <c r="L86" i="3"/>
  <c r="K86" i="3"/>
  <c r="J86" i="3"/>
  <c r="I86" i="3"/>
  <c r="M86" i="3" s="1"/>
  <c r="N86" i="3" s="1"/>
  <c r="H86" i="3"/>
  <c r="G86" i="3"/>
  <c r="F86" i="3"/>
  <c r="E86" i="3"/>
  <c r="D86" i="3"/>
  <c r="C86" i="3"/>
  <c r="B86" i="3"/>
  <c r="A86" i="3"/>
  <c r="K85" i="3"/>
  <c r="J85" i="3"/>
  <c r="I85" i="3"/>
  <c r="H85" i="3"/>
  <c r="G85" i="3"/>
  <c r="F85" i="3"/>
  <c r="E85" i="3"/>
  <c r="D85" i="3"/>
  <c r="C85" i="3"/>
  <c r="B85" i="3"/>
  <c r="L85" i="3" s="1"/>
  <c r="A85" i="3"/>
  <c r="J84" i="3"/>
  <c r="I84" i="3"/>
  <c r="M84" i="3" s="1"/>
  <c r="N84" i="3" s="1"/>
  <c r="H84" i="3"/>
  <c r="G84" i="3"/>
  <c r="F84" i="3"/>
  <c r="E84" i="3"/>
  <c r="D84" i="3"/>
  <c r="C84" i="3"/>
  <c r="B84" i="3"/>
  <c r="K84" i="3" s="1"/>
  <c r="A84" i="3"/>
  <c r="J83" i="3"/>
  <c r="I83" i="3"/>
  <c r="M83" i="3" s="1"/>
  <c r="N83" i="3" s="1"/>
  <c r="H83" i="3"/>
  <c r="G83" i="3"/>
  <c r="F83" i="3"/>
  <c r="E83" i="3"/>
  <c r="D83" i="3"/>
  <c r="C83" i="3"/>
  <c r="B83" i="3"/>
  <c r="A83" i="3"/>
  <c r="N82" i="3"/>
  <c r="M82" i="3"/>
  <c r="J82" i="3"/>
  <c r="I82" i="3"/>
  <c r="H82" i="3"/>
  <c r="G82" i="3"/>
  <c r="F82" i="3"/>
  <c r="E82" i="3"/>
  <c r="D82" i="3"/>
  <c r="C82" i="3"/>
  <c r="B82" i="3"/>
  <c r="A82" i="3"/>
  <c r="M81" i="3"/>
  <c r="N81" i="3" s="1"/>
  <c r="J81" i="3"/>
  <c r="I81" i="3"/>
  <c r="H81" i="3"/>
  <c r="G81" i="3"/>
  <c r="F81" i="3"/>
  <c r="E81" i="3"/>
  <c r="D81" i="3"/>
  <c r="C81" i="3"/>
  <c r="B81" i="3"/>
  <c r="L81" i="3" s="1"/>
  <c r="A81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80" i="3"/>
  <c r="M79" i="3"/>
  <c r="N79" i="3" s="1"/>
  <c r="L79" i="3"/>
  <c r="J79" i="3"/>
  <c r="I79" i="3"/>
  <c r="H79" i="3"/>
  <c r="G79" i="3"/>
  <c r="F79" i="3"/>
  <c r="E79" i="3"/>
  <c r="D79" i="3"/>
  <c r="C79" i="3"/>
  <c r="B79" i="3"/>
  <c r="K79" i="3" s="1"/>
  <c r="A79" i="3"/>
  <c r="L78" i="3"/>
  <c r="K78" i="3"/>
  <c r="J78" i="3"/>
  <c r="I78" i="3"/>
  <c r="M78" i="3" s="1"/>
  <c r="N78" i="3" s="1"/>
  <c r="H78" i="3"/>
  <c r="G78" i="3"/>
  <c r="F78" i="3"/>
  <c r="E78" i="3"/>
  <c r="D78" i="3"/>
  <c r="C78" i="3"/>
  <c r="B78" i="3"/>
  <c r="A78" i="3"/>
  <c r="K77" i="3"/>
  <c r="J77" i="3"/>
  <c r="I77" i="3"/>
  <c r="H77" i="3"/>
  <c r="G77" i="3"/>
  <c r="F77" i="3"/>
  <c r="E77" i="3"/>
  <c r="D77" i="3"/>
  <c r="C77" i="3"/>
  <c r="B77" i="3"/>
  <c r="L77" i="3" s="1"/>
  <c r="A77" i="3"/>
  <c r="J76" i="3"/>
  <c r="I76" i="3"/>
  <c r="M76" i="3" s="1"/>
  <c r="N76" i="3" s="1"/>
  <c r="H76" i="3"/>
  <c r="G76" i="3"/>
  <c r="F76" i="3"/>
  <c r="E76" i="3"/>
  <c r="D76" i="3"/>
  <c r="C76" i="3"/>
  <c r="B76" i="3"/>
  <c r="K76" i="3" s="1"/>
  <c r="A76" i="3"/>
  <c r="J75" i="3"/>
  <c r="I75" i="3"/>
  <c r="H75" i="3"/>
  <c r="G75" i="3"/>
  <c r="F75" i="3"/>
  <c r="E75" i="3"/>
  <c r="D75" i="3"/>
  <c r="C75" i="3"/>
  <c r="B75" i="3"/>
  <c r="A75" i="3"/>
  <c r="M74" i="3"/>
  <c r="N74" i="3" s="1"/>
  <c r="J74" i="3"/>
  <c r="I74" i="3"/>
  <c r="H74" i="3"/>
  <c r="G74" i="3"/>
  <c r="F74" i="3"/>
  <c r="E74" i="3"/>
  <c r="D74" i="3"/>
  <c r="C74" i="3"/>
  <c r="B74" i="3"/>
  <c r="A74" i="3"/>
  <c r="N73" i="3"/>
  <c r="M73" i="3"/>
  <c r="J73" i="3"/>
  <c r="I73" i="3"/>
  <c r="H73" i="3"/>
  <c r="G73" i="3"/>
  <c r="F73" i="3"/>
  <c r="E73" i="3"/>
  <c r="D73" i="3"/>
  <c r="C73" i="3"/>
  <c r="B73" i="3"/>
  <c r="L73" i="3" s="1"/>
  <c r="A73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M71" i="3"/>
  <c r="N71" i="3" s="1"/>
  <c r="J71" i="3"/>
  <c r="I71" i="3"/>
  <c r="H71" i="3"/>
  <c r="G71" i="3"/>
  <c r="F71" i="3"/>
  <c r="E71" i="3"/>
  <c r="D71" i="3"/>
  <c r="C71" i="3"/>
  <c r="B71" i="3"/>
  <c r="L71" i="3" s="1"/>
  <c r="A71" i="3"/>
  <c r="M70" i="3"/>
  <c r="N70" i="3" s="1"/>
  <c r="L70" i="3"/>
  <c r="K70" i="3"/>
  <c r="J70" i="3"/>
  <c r="I70" i="3"/>
  <c r="H70" i="3"/>
  <c r="G70" i="3"/>
  <c r="F70" i="3"/>
  <c r="E70" i="3"/>
  <c r="D70" i="3"/>
  <c r="C70" i="3"/>
  <c r="B70" i="3"/>
  <c r="A70" i="3"/>
  <c r="K69" i="3"/>
  <c r="J69" i="3"/>
  <c r="I69" i="3"/>
  <c r="M69" i="3" s="1"/>
  <c r="N69" i="3" s="1"/>
  <c r="H69" i="3"/>
  <c r="G69" i="3"/>
  <c r="F69" i="3"/>
  <c r="E69" i="3"/>
  <c r="D69" i="3"/>
  <c r="C69" i="3"/>
  <c r="B69" i="3"/>
  <c r="L69" i="3" s="1"/>
  <c r="A69" i="3"/>
  <c r="J68" i="3"/>
  <c r="I68" i="3"/>
  <c r="M68" i="3" s="1"/>
  <c r="N68" i="3" s="1"/>
  <c r="H68" i="3"/>
  <c r="G68" i="3"/>
  <c r="F68" i="3"/>
  <c r="E68" i="3"/>
  <c r="D68" i="3"/>
  <c r="C68" i="3"/>
  <c r="B68" i="3"/>
  <c r="K68" i="3" s="1"/>
  <c r="A68" i="3"/>
  <c r="J67" i="3"/>
  <c r="I67" i="3"/>
  <c r="H67" i="3"/>
  <c r="G67" i="3"/>
  <c r="F67" i="3"/>
  <c r="E67" i="3"/>
  <c r="D67" i="3"/>
  <c r="C67" i="3"/>
  <c r="B67" i="3"/>
  <c r="A67" i="3"/>
  <c r="M66" i="3"/>
  <c r="N66" i="3" s="1"/>
  <c r="J66" i="3"/>
  <c r="I66" i="3"/>
  <c r="H66" i="3"/>
  <c r="G66" i="3"/>
  <c r="F66" i="3"/>
  <c r="E66" i="3"/>
  <c r="D66" i="3"/>
  <c r="C66" i="3"/>
  <c r="B66" i="3"/>
  <c r="A66" i="3"/>
  <c r="M65" i="3"/>
  <c r="N65" i="3" s="1"/>
  <c r="K65" i="3"/>
  <c r="J65" i="3"/>
  <c r="I65" i="3"/>
  <c r="H65" i="3"/>
  <c r="G65" i="3"/>
  <c r="F65" i="3"/>
  <c r="E65" i="3"/>
  <c r="D65" i="3"/>
  <c r="C65" i="3"/>
  <c r="B65" i="3"/>
  <c r="L65" i="3" s="1"/>
  <c r="A65" i="3"/>
  <c r="L64" i="3"/>
  <c r="K64" i="3"/>
  <c r="J64" i="3"/>
  <c r="I64" i="3"/>
  <c r="M64" i="3" s="1"/>
  <c r="N64" i="3" s="1"/>
  <c r="H64" i="3"/>
  <c r="G64" i="3"/>
  <c r="F64" i="3"/>
  <c r="E64" i="3"/>
  <c r="D64" i="3"/>
  <c r="C64" i="3"/>
  <c r="B64" i="3"/>
  <c r="A64" i="3"/>
  <c r="J63" i="3"/>
  <c r="I63" i="3"/>
  <c r="M63" i="3" s="1"/>
  <c r="N63" i="3" s="1"/>
  <c r="H63" i="3"/>
  <c r="G63" i="3"/>
  <c r="F63" i="3"/>
  <c r="E63" i="3"/>
  <c r="D63" i="3"/>
  <c r="C63" i="3"/>
  <c r="B63" i="3"/>
  <c r="L63" i="3" s="1"/>
  <c r="A63" i="3"/>
  <c r="L62" i="3"/>
  <c r="K62" i="3"/>
  <c r="J62" i="3"/>
  <c r="M62" i="3" s="1"/>
  <c r="N62" i="3" s="1"/>
  <c r="I62" i="3"/>
  <c r="H62" i="3"/>
  <c r="G62" i="3"/>
  <c r="F62" i="3"/>
  <c r="E62" i="3"/>
  <c r="D62" i="3"/>
  <c r="C62" i="3"/>
  <c r="B62" i="3"/>
  <c r="A62" i="3"/>
  <c r="K61" i="3"/>
  <c r="J61" i="3"/>
  <c r="I61" i="3"/>
  <c r="H61" i="3"/>
  <c r="G61" i="3"/>
  <c r="F61" i="3"/>
  <c r="E61" i="3"/>
  <c r="D61" i="3"/>
  <c r="C61" i="3"/>
  <c r="B61" i="3"/>
  <c r="L61" i="3" s="1"/>
  <c r="A61" i="3"/>
  <c r="L60" i="3"/>
  <c r="J60" i="3"/>
  <c r="I60" i="3"/>
  <c r="M60" i="3" s="1"/>
  <c r="N60" i="3" s="1"/>
  <c r="H60" i="3"/>
  <c r="G60" i="3"/>
  <c r="F60" i="3"/>
  <c r="E60" i="3"/>
  <c r="D60" i="3"/>
  <c r="C60" i="3"/>
  <c r="B60" i="3"/>
  <c r="K60" i="3" s="1"/>
  <c r="A60" i="3"/>
  <c r="J59" i="3"/>
  <c r="I59" i="3"/>
  <c r="M59" i="3" s="1"/>
  <c r="N59" i="3" s="1"/>
  <c r="H59" i="3"/>
  <c r="G59" i="3"/>
  <c r="F59" i="3"/>
  <c r="E59" i="3"/>
  <c r="D59" i="3"/>
  <c r="C59" i="3"/>
  <c r="B59" i="3"/>
  <c r="A59" i="3"/>
  <c r="M58" i="3"/>
  <c r="N58" i="3" s="1"/>
  <c r="J58" i="3"/>
  <c r="I58" i="3"/>
  <c r="H58" i="3"/>
  <c r="G58" i="3"/>
  <c r="F58" i="3"/>
  <c r="E58" i="3"/>
  <c r="D58" i="3"/>
  <c r="C58" i="3"/>
  <c r="B58" i="3"/>
  <c r="A58" i="3"/>
  <c r="M57" i="3"/>
  <c r="N57" i="3" s="1"/>
  <c r="L57" i="3"/>
  <c r="J57" i="3"/>
  <c r="I57" i="3"/>
  <c r="H57" i="3"/>
  <c r="G57" i="3"/>
  <c r="F57" i="3"/>
  <c r="E57" i="3"/>
  <c r="D57" i="3"/>
  <c r="C57" i="3"/>
  <c r="B57" i="3"/>
  <c r="K57" i="3" s="1"/>
  <c r="A57" i="3"/>
  <c r="L56" i="3"/>
  <c r="K56" i="3"/>
  <c r="J56" i="3"/>
  <c r="M56" i="3" s="1"/>
  <c r="N56" i="3" s="1"/>
  <c r="I56" i="3"/>
  <c r="H56" i="3"/>
  <c r="G56" i="3"/>
  <c r="F56" i="3"/>
  <c r="E56" i="3"/>
  <c r="D56" i="3"/>
  <c r="C56" i="3"/>
  <c r="B56" i="3"/>
  <c r="A56" i="3"/>
  <c r="K55" i="3"/>
  <c r="J55" i="3"/>
  <c r="I55" i="3"/>
  <c r="M55" i="3" s="1"/>
  <c r="N55" i="3" s="1"/>
  <c r="H55" i="3"/>
  <c r="G55" i="3"/>
  <c r="F55" i="3"/>
  <c r="E55" i="3"/>
  <c r="D55" i="3"/>
  <c r="C55" i="3"/>
  <c r="B55" i="3"/>
  <c r="L55" i="3" s="1"/>
  <c r="A55" i="3"/>
  <c r="L54" i="3"/>
  <c r="K54" i="3"/>
  <c r="J54" i="3"/>
  <c r="I54" i="3"/>
  <c r="M54" i="3" s="1"/>
  <c r="N54" i="3" s="1"/>
  <c r="H54" i="3"/>
  <c r="G54" i="3"/>
  <c r="F54" i="3"/>
  <c r="E54" i="3"/>
  <c r="D54" i="3"/>
  <c r="C54" i="3"/>
  <c r="B54" i="3"/>
  <c r="A54" i="3"/>
  <c r="K53" i="3"/>
  <c r="J53" i="3"/>
  <c r="I53" i="3"/>
  <c r="H53" i="3"/>
  <c r="G53" i="3"/>
  <c r="F53" i="3"/>
  <c r="E53" i="3"/>
  <c r="D53" i="3"/>
  <c r="C53" i="3"/>
  <c r="B53" i="3"/>
  <c r="L53" i="3" s="1"/>
  <c r="A53" i="3"/>
  <c r="J52" i="3"/>
  <c r="I52" i="3"/>
  <c r="M52" i="3" s="1"/>
  <c r="N52" i="3" s="1"/>
  <c r="H52" i="3"/>
  <c r="G52" i="3"/>
  <c r="F52" i="3"/>
  <c r="E52" i="3"/>
  <c r="D52" i="3"/>
  <c r="C52" i="3"/>
  <c r="B52" i="3"/>
  <c r="K52" i="3" s="1"/>
  <c r="A52" i="3"/>
  <c r="J51" i="3"/>
  <c r="I51" i="3"/>
  <c r="M51" i="3" s="1"/>
  <c r="N51" i="3" s="1"/>
  <c r="H51" i="3"/>
  <c r="G51" i="3"/>
  <c r="F51" i="3"/>
  <c r="E51" i="3"/>
  <c r="D51" i="3"/>
  <c r="C51" i="3"/>
  <c r="B51" i="3"/>
  <c r="A51" i="3"/>
  <c r="N50" i="3"/>
  <c r="M50" i="3"/>
  <c r="J50" i="3"/>
  <c r="I50" i="3"/>
  <c r="H50" i="3"/>
  <c r="G50" i="3"/>
  <c r="F50" i="3"/>
  <c r="E50" i="3"/>
  <c r="D50" i="3"/>
  <c r="C50" i="3"/>
  <c r="B50" i="3"/>
  <c r="A50" i="3"/>
  <c r="M49" i="3"/>
  <c r="N49" i="3" s="1"/>
  <c r="J49" i="3"/>
  <c r="I49" i="3"/>
  <c r="H49" i="3"/>
  <c r="G49" i="3"/>
  <c r="F49" i="3"/>
  <c r="E49" i="3"/>
  <c r="D49" i="3"/>
  <c r="C49" i="3"/>
  <c r="B49" i="3"/>
  <c r="L49" i="3" s="1"/>
  <c r="A49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M47" i="3"/>
  <c r="N47" i="3" s="1"/>
  <c r="L47" i="3"/>
  <c r="J47" i="3"/>
  <c r="I47" i="3"/>
  <c r="H47" i="3"/>
  <c r="G47" i="3"/>
  <c r="F47" i="3"/>
  <c r="E47" i="3"/>
  <c r="D47" i="3"/>
  <c r="C47" i="3"/>
  <c r="B47" i="3"/>
  <c r="K47" i="3" s="1"/>
  <c r="A47" i="3"/>
  <c r="L46" i="3"/>
  <c r="K46" i="3"/>
  <c r="J46" i="3"/>
  <c r="I46" i="3"/>
  <c r="M46" i="3" s="1"/>
  <c r="N46" i="3" s="1"/>
  <c r="H46" i="3"/>
  <c r="G46" i="3"/>
  <c r="F46" i="3"/>
  <c r="E46" i="3"/>
  <c r="D46" i="3"/>
  <c r="C46" i="3"/>
  <c r="B46" i="3"/>
  <c r="A46" i="3"/>
  <c r="K45" i="3"/>
  <c r="J45" i="3"/>
  <c r="I45" i="3"/>
  <c r="H45" i="3"/>
  <c r="G45" i="3"/>
  <c r="F45" i="3"/>
  <c r="E45" i="3"/>
  <c r="D45" i="3"/>
  <c r="C45" i="3"/>
  <c r="B45" i="3"/>
  <c r="L45" i="3" s="1"/>
  <c r="A45" i="3"/>
  <c r="J44" i="3"/>
  <c r="I44" i="3"/>
  <c r="M44" i="3" s="1"/>
  <c r="N44" i="3" s="1"/>
  <c r="H44" i="3"/>
  <c r="G44" i="3"/>
  <c r="F44" i="3"/>
  <c r="E44" i="3"/>
  <c r="D44" i="3"/>
  <c r="C44" i="3"/>
  <c r="B44" i="3"/>
  <c r="K44" i="3" s="1"/>
  <c r="A44" i="3"/>
  <c r="J43" i="3"/>
  <c r="I43" i="3"/>
  <c r="H43" i="3"/>
  <c r="G43" i="3"/>
  <c r="F43" i="3"/>
  <c r="E43" i="3"/>
  <c r="D43" i="3"/>
  <c r="C43" i="3"/>
  <c r="B43" i="3"/>
  <c r="A43" i="3"/>
  <c r="M42" i="3"/>
  <c r="N42" i="3" s="1"/>
  <c r="J42" i="3"/>
  <c r="I42" i="3"/>
  <c r="H42" i="3"/>
  <c r="G42" i="3"/>
  <c r="F42" i="3"/>
  <c r="E42" i="3"/>
  <c r="D42" i="3"/>
  <c r="C42" i="3"/>
  <c r="B42" i="3"/>
  <c r="A42" i="3"/>
  <c r="N41" i="3"/>
  <c r="M41" i="3"/>
  <c r="J41" i="3"/>
  <c r="I41" i="3"/>
  <c r="H41" i="3"/>
  <c r="G41" i="3"/>
  <c r="F41" i="3"/>
  <c r="E41" i="3"/>
  <c r="D41" i="3"/>
  <c r="C41" i="3"/>
  <c r="B41" i="3"/>
  <c r="L41" i="3" s="1"/>
  <c r="A41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M39" i="3"/>
  <c r="N39" i="3" s="1"/>
  <c r="J39" i="3"/>
  <c r="I39" i="3"/>
  <c r="H39" i="3"/>
  <c r="G39" i="3"/>
  <c r="F39" i="3"/>
  <c r="E39" i="3"/>
  <c r="D39" i="3"/>
  <c r="C39" i="3"/>
  <c r="B39" i="3"/>
  <c r="L39" i="3" s="1"/>
  <c r="A39" i="3"/>
  <c r="M38" i="3"/>
  <c r="N38" i="3" s="1"/>
  <c r="L38" i="3"/>
  <c r="K38" i="3"/>
  <c r="J38" i="3"/>
  <c r="I38" i="3"/>
  <c r="H38" i="3"/>
  <c r="G38" i="3"/>
  <c r="F38" i="3"/>
  <c r="E38" i="3"/>
  <c r="D38" i="3"/>
  <c r="C38" i="3"/>
  <c r="B38" i="3"/>
  <c r="A38" i="3"/>
  <c r="K37" i="3"/>
  <c r="J37" i="3"/>
  <c r="I37" i="3"/>
  <c r="M37" i="3" s="1"/>
  <c r="N37" i="3" s="1"/>
  <c r="H37" i="3"/>
  <c r="G37" i="3"/>
  <c r="F37" i="3"/>
  <c r="E37" i="3"/>
  <c r="D37" i="3"/>
  <c r="C37" i="3"/>
  <c r="B37" i="3"/>
  <c r="L37" i="3" s="1"/>
  <c r="A37" i="3"/>
  <c r="J36" i="3"/>
  <c r="I36" i="3"/>
  <c r="M36" i="3" s="1"/>
  <c r="N36" i="3" s="1"/>
  <c r="H36" i="3"/>
  <c r="G36" i="3"/>
  <c r="F36" i="3"/>
  <c r="E36" i="3"/>
  <c r="D36" i="3"/>
  <c r="C36" i="3"/>
  <c r="B36" i="3"/>
  <c r="K36" i="3" s="1"/>
  <c r="A36" i="3"/>
  <c r="J35" i="3"/>
  <c r="I35" i="3"/>
  <c r="H35" i="3"/>
  <c r="G35" i="3"/>
  <c r="F35" i="3"/>
  <c r="E35" i="3"/>
  <c r="D35" i="3"/>
  <c r="C35" i="3"/>
  <c r="B35" i="3"/>
  <c r="A35" i="3"/>
  <c r="M34" i="3"/>
  <c r="N34" i="3" s="1"/>
  <c r="J34" i="3"/>
  <c r="I34" i="3"/>
  <c r="H34" i="3"/>
  <c r="G34" i="3"/>
  <c r="F34" i="3"/>
  <c r="E34" i="3"/>
  <c r="D34" i="3"/>
  <c r="C34" i="3"/>
  <c r="B34" i="3"/>
  <c r="A34" i="3"/>
  <c r="M33" i="3"/>
  <c r="N33" i="3" s="1"/>
  <c r="K33" i="3"/>
  <c r="J33" i="3"/>
  <c r="I33" i="3"/>
  <c r="H33" i="3"/>
  <c r="G33" i="3"/>
  <c r="F33" i="3"/>
  <c r="E33" i="3"/>
  <c r="D33" i="3"/>
  <c r="C33" i="3"/>
  <c r="B33" i="3"/>
  <c r="L33" i="3" s="1"/>
  <c r="A33" i="3"/>
  <c r="L32" i="3"/>
  <c r="K32" i="3"/>
  <c r="J32" i="3"/>
  <c r="I32" i="3"/>
  <c r="M32" i="3" s="1"/>
  <c r="N32" i="3" s="1"/>
  <c r="H32" i="3"/>
  <c r="G32" i="3"/>
  <c r="F32" i="3"/>
  <c r="E32" i="3"/>
  <c r="D32" i="3"/>
  <c r="C32" i="3"/>
  <c r="B32" i="3"/>
  <c r="A32" i="3"/>
  <c r="J31" i="3"/>
  <c r="I31" i="3"/>
  <c r="M31" i="3" s="1"/>
  <c r="N31" i="3" s="1"/>
  <c r="H31" i="3"/>
  <c r="G31" i="3"/>
  <c r="F31" i="3"/>
  <c r="E31" i="3"/>
  <c r="D31" i="3"/>
  <c r="C31" i="3"/>
  <c r="B31" i="3"/>
  <c r="L31" i="3" s="1"/>
  <c r="A31" i="3"/>
  <c r="L30" i="3"/>
  <c r="K30" i="3"/>
  <c r="J30" i="3"/>
  <c r="M30" i="3" s="1"/>
  <c r="N30" i="3" s="1"/>
  <c r="I30" i="3"/>
  <c r="H30" i="3"/>
  <c r="G30" i="3"/>
  <c r="F30" i="3"/>
  <c r="E30" i="3"/>
  <c r="D30" i="3"/>
  <c r="C30" i="3"/>
  <c r="B30" i="3"/>
  <c r="A30" i="3"/>
  <c r="J29" i="3"/>
  <c r="I29" i="3"/>
  <c r="H29" i="3"/>
  <c r="G29" i="3"/>
  <c r="F29" i="3"/>
  <c r="E29" i="3"/>
  <c r="D29" i="3"/>
  <c r="C29" i="3"/>
  <c r="B29" i="3"/>
  <c r="L29" i="3" s="1"/>
  <c r="A29" i="3"/>
  <c r="L28" i="3"/>
  <c r="J28" i="3"/>
  <c r="I28" i="3"/>
  <c r="M28" i="3" s="1"/>
  <c r="N28" i="3" s="1"/>
  <c r="H28" i="3"/>
  <c r="G28" i="3"/>
  <c r="F28" i="3"/>
  <c r="E28" i="3"/>
  <c r="D28" i="3"/>
  <c r="C28" i="3"/>
  <c r="B28" i="3"/>
  <c r="K28" i="3" s="1"/>
  <c r="A28" i="3"/>
  <c r="J27" i="3"/>
  <c r="I27" i="3"/>
  <c r="M27" i="3" s="1"/>
  <c r="N27" i="3" s="1"/>
  <c r="H27" i="3"/>
  <c r="G27" i="3"/>
  <c r="F27" i="3"/>
  <c r="E27" i="3"/>
  <c r="D27" i="3"/>
  <c r="C27" i="3"/>
  <c r="B27" i="3"/>
  <c r="A27" i="3"/>
  <c r="N26" i="3"/>
  <c r="M26" i="3"/>
  <c r="J26" i="3"/>
  <c r="I26" i="3"/>
  <c r="H26" i="3"/>
  <c r="G26" i="3"/>
  <c r="F26" i="3"/>
  <c r="E26" i="3"/>
  <c r="D26" i="3"/>
  <c r="C26" i="3"/>
  <c r="B26" i="3"/>
  <c r="K26" i="3" s="1"/>
  <c r="A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M24" i="3"/>
  <c r="N24" i="3" s="1"/>
  <c r="L24" i="3"/>
  <c r="J24" i="3"/>
  <c r="I24" i="3"/>
  <c r="H24" i="3"/>
  <c r="G24" i="3"/>
  <c r="F24" i="3"/>
  <c r="E24" i="3"/>
  <c r="D24" i="3"/>
  <c r="C24" i="3"/>
  <c r="B24" i="3"/>
  <c r="K24" i="3" s="1"/>
  <c r="A24" i="3"/>
  <c r="L23" i="3"/>
  <c r="K23" i="3"/>
  <c r="J23" i="3"/>
  <c r="M23" i="3" s="1"/>
  <c r="N23" i="3" s="1"/>
  <c r="I23" i="3"/>
  <c r="H23" i="3"/>
  <c r="G23" i="3"/>
  <c r="F23" i="3"/>
  <c r="E23" i="3"/>
  <c r="D23" i="3"/>
  <c r="C23" i="3"/>
  <c r="B23" i="3"/>
  <c r="A23" i="3"/>
  <c r="L22" i="3"/>
  <c r="K22" i="3"/>
  <c r="J22" i="3"/>
  <c r="I22" i="3"/>
  <c r="M22" i="3" s="1"/>
  <c r="N22" i="3" s="1"/>
  <c r="H22" i="3"/>
  <c r="G22" i="3"/>
  <c r="F22" i="3"/>
  <c r="E22" i="3"/>
  <c r="D22" i="3"/>
  <c r="C22" i="3"/>
  <c r="B22" i="3"/>
  <c r="A22" i="3"/>
  <c r="J21" i="3"/>
  <c r="I21" i="3"/>
  <c r="H21" i="3"/>
  <c r="G21" i="3"/>
  <c r="F21" i="3"/>
  <c r="E21" i="3"/>
  <c r="D21" i="3"/>
  <c r="C21" i="3"/>
  <c r="B21" i="3"/>
  <c r="K21" i="3" s="1"/>
  <c r="A21" i="3"/>
  <c r="J20" i="3"/>
  <c r="I20" i="3"/>
  <c r="H20" i="3"/>
  <c r="G20" i="3"/>
  <c r="F20" i="3"/>
  <c r="E20" i="3"/>
  <c r="D20" i="3"/>
  <c r="C20" i="3"/>
  <c r="B20" i="3"/>
  <c r="K20" i="3" s="1"/>
  <c r="A20" i="3"/>
  <c r="J19" i="3"/>
  <c r="I19" i="3"/>
  <c r="H19" i="3"/>
  <c r="G19" i="3"/>
  <c r="F19" i="3"/>
  <c r="E19" i="3"/>
  <c r="D19" i="3"/>
  <c r="C19" i="3"/>
  <c r="B19" i="3"/>
  <c r="A19" i="3"/>
  <c r="N18" i="3"/>
  <c r="M18" i="3"/>
  <c r="L18" i="3"/>
  <c r="J18" i="3"/>
  <c r="I18" i="3"/>
  <c r="H18" i="3"/>
  <c r="G18" i="3"/>
  <c r="F18" i="3"/>
  <c r="E18" i="3"/>
  <c r="D18" i="3"/>
  <c r="C18" i="3"/>
  <c r="B18" i="3"/>
  <c r="K18" i="3" s="1"/>
  <c r="A18" i="3"/>
  <c r="L17" i="3"/>
  <c r="K17" i="3"/>
  <c r="J17" i="3"/>
  <c r="N17" i="3" s="1"/>
  <c r="I17" i="3"/>
  <c r="H17" i="3"/>
  <c r="G17" i="3"/>
  <c r="F17" i="3"/>
  <c r="E17" i="3"/>
  <c r="D17" i="3"/>
  <c r="C17" i="3"/>
  <c r="B17" i="3"/>
  <c r="A17" i="3"/>
  <c r="J16" i="3"/>
  <c r="I16" i="3"/>
  <c r="M16" i="3" s="1"/>
  <c r="N16" i="3" s="1"/>
  <c r="H16" i="3"/>
  <c r="G16" i="3"/>
  <c r="F16" i="3"/>
  <c r="E16" i="3"/>
  <c r="D16" i="3"/>
  <c r="C16" i="3"/>
  <c r="B16" i="3"/>
  <c r="L16" i="3" s="1"/>
  <c r="A16" i="3"/>
  <c r="N15" i="3"/>
  <c r="M15" i="3"/>
  <c r="J15" i="3"/>
  <c r="I15" i="3"/>
  <c r="H15" i="3"/>
  <c r="G15" i="3"/>
  <c r="F15" i="3"/>
  <c r="E15" i="3"/>
  <c r="D15" i="3"/>
  <c r="C15" i="3"/>
  <c r="B15" i="3"/>
  <c r="L15" i="3" s="1"/>
  <c r="A15" i="3"/>
  <c r="M14" i="3"/>
  <c r="N14" i="3" s="1"/>
  <c r="L14" i="3"/>
  <c r="K14" i="3"/>
  <c r="J14" i="3"/>
  <c r="I14" i="3"/>
  <c r="H14" i="3"/>
  <c r="G14" i="3"/>
  <c r="F14" i="3"/>
  <c r="E14" i="3"/>
  <c r="D14" i="3"/>
  <c r="C14" i="3"/>
  <c r="B14" i="3"/>
  <c r="A14" i="3"/>
  <c r="J13" i="3"/>
  <c r="I13" i="3"/>
  <c r="H13" i="3"/>
  <c r="G13" i="3"/>
  <c r="F13" i="3"/>
  <c r="E13" i="3"/>
  <c r="D13" i="3"/>
  <c r="C13" i="3"/>
  <c r="B13" i="3"/>
  <c r="L13" i="3" s="1"/>
  <c r="A13" i="3"/>
  <c r="L12" i="3"/>
  <c r="J12" i="3"/>
  <c r="I12" i="3"/>
  <c r="M12" i="3" s="1"/>
  <c r="N12" i="3" s="1"/>
  <c r="H12" i="3"/>
  <c r="G12" i="3"/>
  <c r="F12" i="3"/>
  <c r="E12" i="3"/>
  <c r="D12" i="3"/>
  <c r="C12" i="3"/>
  <c r="B12" i="3"/>
  <c r="K12" i="3" s="1"/>
  <c r="A12" i="3"/>
  <c r="J11" i="3"/>
  <c r="I11" i="3"/>
  <c r="M11" i="3" s="1"/>
  <c r="N11" i="3" s="1"/>
  <c r="H11" i="3"/>
  <c r="G11" i="3"/>
  <c r="F11" i="3"/>
  <c r="E11" i="3"/>
  <c r="D11" i="3"/>
  <c r="C11" i="3"/>
  <c r="B11" i="3"/>
  <c r="A11" i="3"/>
  <c r="N10" i="3"/>
  <c r="M10" i="3"/>
  <c r="J10" i="3"/>
  <c r="I10" i="3"/>
  <c r="H10" i="3"/>
  <c r="G10" i="3"/>
  <c r="F10" i="3"/>
  <c r="E10" i="3"/>
  <c r="D10" i="3"/>
  <c r="C10" i="3"/>
  <c r="B10" i="3"/>
  <c r="K10" i="3" s="1"/>
  <c r="A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M8" i="3"/>
  <c r="N8" i="3" s="1"/>
  <c r="L8" i="3"/>
  <c r="J8" i="3"/>
  <c r="I8" i="3"/>
  <c r="H8" i="3"/>
  <c r="G8" i="3"/>
  <c r="F8" i="3"/>
  <c r="E8" i="3"/>
  <c r="D8" i="3"/>
  <c r="C8" i="3"/>
  <c r="B8" i="3"/>
  <c r="K8" i="3" s="1"/>
  <c r="A8" i="3"/>
  <c r="L7" i="3"/>
  <c r="K7" i="3"/>
  <c r="J7" i="3"/>
  <c r="M7" i="3" s="1"/>
  <c r="N7" i="3" s="1"/>
  <c r="I7" i="3"/>
  <c r="H7" i="3"/>
  <c r="G7" i="3"/>
  <c r="F7" i="3"/>
  <c r="E7" i="3"/>
  <c r="D7" i="3"/>
  <c r="C7" i="3"/>
  <c r="B7" i="3"/>
  <c r="A7" i="3"/>
  <c r="L6" i="3"/>
  <c r="K6" i="3"/>
  <c r="J6" i="3"/>
  <c r="I6" i="3"/>
  <c r="M6" i="3" s="1"/>
  <c r="N6" i="3" s="1"/>
  <c r="H6" i="3"/>
  <c r="G6" i="3"/>
  <c r="F6" i="3"/>
  <c r="E6" i="3"/>
  <c r="D6" i="3"/>
  <c r="C6" i="3"/>
  <c r="B6" i="3"/>
  <c r="A6" i="3"/>
  <c r="J5" i="3"/>
  <c r="I5" i="3"/>
  <c r="H5" i="3"/>
  <c r="G5" i="3"/>
  <c r="F5" i="3"/>
  <c r="E5" i="3"/>
  <c r="D5" i="3"/>
  <c r="C5" i="3"/>
  <c r="B5" i="3"/>
  <c r="K5" i="3" s="1"/>
  <c r="A5" i="3"/>
  <c r="J4" i="3"/>
  <c r="I4" i="3"/>
  <c r="H4" i="3"/>
  <c r="G4" i="3"/>
  <c r="F4" i="3"/>
  <c r="E4" i="3"/>
  <c r="D4" i="3"/>
  <c r="C4" i="3"/>
  <c r="B4" i="3"/>
  <c r="K4" i="3" s="1"/>
  <c r="A4" i="3"/>
  <c r="J3" i="3"/>
  <c r="I3" i="3"/>
  <c r="H3" i="3"/>
  <c r="G3" i="3"/>
  <c r="F3" i="3"/>
  <c r="E3" i="3"/>
  <c r="D3" i="3"/>
  <c r="C3" i="3"/>
  <c r="B3" i="3"/>
  <c r="A3" i="3"/>
  <c r="N2" i="3"/>
  <c r="M2" i="3"/>
  <c r="L2" i="3"/>
  <c r="J2" i="3"/>
  <c r="I2" i="3"/>
  <c r="H2" i="3"/>
  <c r="G2" i="3"/>
  <c r="F2" i="3"/>
  <c r="E2" i="3"/>
  <c r="D2" i="3"/>
  <c r="I14" i="5" s="1"/>
  <c r="C2" i="3"/>
  <c r="B2" i="3"/>
  <c r="K2" i="3" s="1"/>
  <c r="A2" i="3"/>
  <c r="L82" i="3" l="1"/>
  <c r="K82" i="3"/>
  <c r="L202" i="3"/>
  <c r="K202" i="3"/>
  <c r="L250" i="3"/>
  <c r="K250" i="3"/>
  <c r="L258" i="3"/>
  <c r="K258" i="3"/>
  <c r="L266" i="3"/>
  <c r="K266" i="3"/>
  <c r="L274" i="3"/>
  <c r="K274" i="3"/>
  <c r="L186" i="3"/>
  <c r="K186" i="3"/>
  <c r="C14" i="5"/>
  <c r="C20" i="8" s="1"/>
  <c r="L139" i="3"/>
  <c r="K139" i="3"/>
  <c r="M5" i="3"/>
  <c r="M21" i="3"/>
  <c r="N21" i="3" s="1"/>
  <c r="L35" i="3"/>
  <c r="K35" i="3"/>
  <c r="M45" i="3"/>
  <c r="N45" i="3" s="1"/>
  <c r="L58" i="3"/>
  <c r="K58" i="3"/>
  <c r="L67" i="3"/>
  <c r="K67" i="3"/>
  <c r="M77" i="3"/>
  <c r="N77" i="3" s="1"/>
  <c r="L90" i="3"/>
  <c r="K90" i="3"/>
  <c r="L99" i="3"/>
  <c r="K99" i="3"/>
  <c r="M109" i="3"/>
  <c r="N109" i="3" s="1"/>
  <c r="L130" i="3"/>
  <c r="K130" i="3"/>
  <c r="L178" i="3"/>
  <c r="K178" i="3"/>
  <c r="M270" i="3"/>
  <c r="N270" i="3" s="1"/>
  <c r="M278" i="3"/>
  <c r="N278" i="3" s="1"/>
  <c r="L50" i="3"/>
  <c r="K50" i="3"/>
  <c r="L138" i="3"/>
  <c r="K138" i="3"/>
  <c r="L170" i="3"/>
  <c r="K170" i="3"/>
  <c r="L154" i="3"/>
  <c r="K154" i="3"/>
  <c r="L131" i="3"/>
  <c r="K131" i="3"/>
  <c r="B9" i="4"/>
  <c r="L234" i="3"/>
  <c r="K234" i="3"/>
  <c r="L242" i="3"/>
  <c r="K242" i="3"/>
  <c r="K116" i="3"/>
  <c r="L116" i="3"/>
  <c r="L162" i="3"/>
  <c r="K162" i="3"/>
  <c r="K63" i="3"/>
  <c r="L68" i="3"/>
  <c r="K73" i="3"/>
  <c r="K95" i="3"/>
  <c r="L194" i="3"/>
  <c r="K194" i="3"/>
  <c r="L146" i="3"/>
  <c r="K146" i="3"/>
  <c r="L3" i="3"/>
  <c r="K3" i="3"/>
  <c r="L5" i="3"/>
  <c r="K16" i="3"/>
  <c r="L19" i="3"/>
  <c r="K19" i="3"/>
  <c r="L21" i="3"/>
  <c r="K31" i="3"/>
  <c r="L36" i="3"/>
  <c r="K41" i="3"/>
  <c r="L34" i="3"/>
  <c r="K34" i="3"/>
  <c r="C20" i="5" s="1"/>
  <c r="L43" i="3"/>
  <c r="K43" i="3"/>
  <c r="M53" i="3"/>
  <c r="N53" i="3" s="1"/>
  <c r="L66" i="3"/>
  <c r="K66" i="3"/>
  <c r="L75" i="3"/>
  <c r="K75" i="3"/>
  <c r="M85" i="3"/>
  <c r="N85" i="3" s="1"/>
  <c r="L98" i="3"/>
  <c r="K98" i="3"/>
  <c r="L107" i="3"/>
  <c r="K107" i="3"/>
  <c r="K124" i="3"/>
  <c r="L124" i="3"/>
  <c r="L59" i="3"/>
  <c r="K59" i="3"/>
  <c r="B8" i="4"/>
  <c r="J5" i="8" s="1"/>
  <c r="M4" i="3"/>
  <c r="N4" i="3" s="1"/>
  <c r="K15" i="3"/>
  <c r="M20" i="3"/>
  <c r="N20" i="3" s="1"/>
  <c r="M125" i="3"/>
  <c r="N125" i="3" s="1"/>
  <c r="K132" i="3"/>
  <c r="L132" i="3"/>
  <c r="L114" i="3"/>
  <c r="K114" i="3"/>
  <c r="L218" i="3"/>
  <c r="K218" i="3"/>
  <c r="L226" i="3"/>
  <c r="K226" i="3"/>
  <c r="L122" i="3"/>
  <c r="K122" i="3"/>
  <c r="L147" i="3"/>
  <c r="K147" i="3"/>
  <c r="J5" i="5"/>
  <c r="J7" i="5"/>
  <c r="G5" i="5"/>
  <c r="G7" i="5"/>
  <c r="F7" i="5"/>
  <c r="F13" i="8" s="1"/>
  <c r="J4" i="5"/>
  <c r="J6" i="5"/>
  <c r="G4" i="5"/>
  <c r="F4" i="5"/>
  <c r="F10" i="8" s="1"/>
  <c r="G6" i="5"/>
  <c r="F6" i="5"/>
  <c r="F12" i="8" s="1"/>
  <c r="L4" i="3"/>
  <c r="L10" i="3"/>
  <c r="L20" i="3"/>
  <c r="L26" i="3"/>
  <c r="M35" i="3"/>
  <c r="N35" i="3" s="1"/>
  <c r="K39" i="3"/>
  <c r="L44" i="3"/>
  <c r="K49" i="3"/>
  <c r="M67" i="3"/>
  <c r="N67" i="3" s="1"/>
  <c r="K71" i="3"/>
  <c r="L76" i="3"/>
  <c r="K81" i="3"/>
  <c r="M99" i="3"/>
  <c r="N99" i="3" s="1"/>
  <c r="K103" i="3"/>
  <c r="L108" i="3"/>
  <c r="K113" i="3"/>
  <c r="K140" i="3"/>
  <c r="L140" i="3"/>
  <c r="L91" i="3"/>
  <c r="K91" i="3"/>
  <c r="C16" i="5"/>
  <c r="B20" i="5"/>
  <c r="B20" i="6" s="1"/>
  <c r="I12" i="5"/>
  <c r="G12" i="5"/>
  <c r="H12" i="5" s="1"/>
  <c r="F12" i="5"/>
  <c r="I11" i="5"/>
  <c r="F14" i="5"/>
  <c r="F11" i="5"/>
  <c r="I13" i="5"/>
  <c r="F13" i="5"/>
  <c r="M13" i="3"/>
  <c r="N13" i="3" s="1"/>
  <c r="M29" i="3"/>
  <c r="N29" i="3" s="1"/>
  <c r="L42" i="3"/>
  <c r="K42" i="3"/>
  <c r="L51" i="3"/>
  <c r="K51" i="3"/>
  <c r="M61" i="3"/>
  <c r="N61" i="3" s="1"/>
  <c r="L74" i="3"/>
  <c r="K74" i="3"/>
  <c r="L83" i="3"/>
  <c r="K83" i="3"/>
  <c r="M93" i="3"/>
  <c r="N93" i="3" s="1"/>
  <c r="L106" i="3"/>
  <c r="K106" i="3"/>
  <c r="L115" i="3"/>
  <c r="K115" i="3"/>
  <c r="K148" i="3"/>
  <c r="L148" i="3"/>
  <c r="K156" i="3"/>
  <c r="L156" i="3"/>
  <c r="B4" i="4"/>
  <c r="L210" i="3"/>
  <c r="K210" i="3"/>
  <c r="B5" i="4"/>
  <c r="B5" i="7" s="1"/>
  <c r="E5" i="7" s="1"/>
  <c r="M3" i="3"/>
  <c r="B6" i="4" s="1"/>
  <c r="D5" i="8" s="1"/>
  <c r="K13" i="3"/>
  <c r="M19" i="3"/>
  <c r="N19" i="3" s="1"/>
  <c r="K29" i="3"/>
  <c r="L123" i="3"/>
  <c r="K123" i="3"/>
  <c r="F5" i="5"/>
  <c r="F11" i="8" s="1"/>
  <c r="L11" i="3"/>
  <c r="K11" i="3"/>
  <c r="C8" i="5" s="1"/>
  <c r="C14" i="8" s="1"/>
  <c r="L27" i="3"/>
  <c r="K27" i="3"/>
  <c r="M43" i="3"/>
  <c r="N43" i="3" s="1"/>
  <c r="L52" i="3"/>
  <c r="M75" i="3"/>
  <c r="N75" i="3" s="1"/>
  <c r="L84" i="3"/>
  <c r="M107" i="3"/>
  <c r="N107" i="3" s="1"/>
  <c r="L164" i="3"/>
  <c r="L172" i="3"/>
  <c r="L180" i="3"/>
  <c r="L188" i="3"/>
  <c r="L196" i="3"/>
  <c r="K155" i="3"/>
  <c r="K163" i="3"/>
  <c r="K171" i="3"/>
  <c r="K179" i="3"/>
  <c r="K187" i="3"/>
  <c r="K195" i="3"/>
  <c r="K203" i="3"/>
  <c r="K211" i="3"/>
  <c r="K219" i="3"/>
  <c r="K227" i="3"/>
  <c r="K235" i="3"/>
  <c r="K243" i="3"/>
  <c r="K251" i="3"/>
  <c r="K259" i="3"/>
  <c r="K267" i="3"/>
  <c r="K275" i="3"/>
  <c r="K283" i="3"/>
  <c r="K282" i="3"/>
  <c r="B21" i="5" l="1"/>
  <c r="B21" i="6" s="1"/>
  <c r="B18" i="5"/>
  <c r="B18" i="6" s="1"/>
  <c r="B5" i="5"/>
  <c r="B9" i="5"/>
  <c r="H6" i="5"/>
  <c r="B26" i="5"/>
  <c r="B26" i="6" s="1"/>
  <c r="B13" i="5"/>
  <c r="C7" i="5"/>
  <c r="C13" i="8" s="1"/>
  <c r="E4" i="7"/>
  <c r="E6" i="7" s="1"/>
  <c r="E7" i="7" s="1"/>
  <c r="A5" i="8"/>
  <c r="B10" i="5"/>
  <c r="B6" i="5"/>
  <c r="C21" i="5"/>
  <c r="C4" i="5"/>
  <c r="C10" i="8" s="1"/>
  <c r="C5" i="5"/>
  <c r="C11" i="8" s="1"/>
  <c r="B17" i="5"/>
  <c r="B17" i="6" s="1"/>
  <c r="H4" i="5"/>
  <c r="C24" i="5"/>
  <c r="C18" i="5"/>
  <c r="B22" i="5"/>
  <c r="B22" i="6" s="1"/>
  <c r="C6" i="5"/>
  <c r="C12" i="8" s="1"/>
  <c r="B4" i="5"/>
  <c r="G13" i="5"/>
  <c r="H13" i="5" s="1"/>
  <c r="C26" i="5"/>
  <c r="B15" i="5"/>
  <c r="C9" i="5"/>
  <c r="C15" i="8" s="1"/>
  <c r="B11" i="5"/>
  <c r="B23" i="5"/>
  <c r="B23" i="6" s="1"/>
  <c r="C13" i="5"/>
  <c r="C19" i="8" s="1"/>
  <c r="B25" i="5"/>
  <c r="B25" i="6" s="1"/>
  <c r="C15" i="5"/>
  <c r="C21" i="8" s="1"/>
  <c r="C12" i="5"/>
  <c r="C18" i="8" s="1"/>
  <c r="B19" i="5"/>
  <c r="B19" i="6" s="1"/>
  <c r="C21" i="6" s="1"/>
  <c r="C17" i="5"/>
  <c r="B27" i="5"/>
  <c r="B27" i="6" s="1"/>
  <c r="C23" i="5"/>
  <c r="C25" i="5"/>
  <c r="H5" i="5"/>
  <c r="B12" i="5"/>
  <c r="C11" i="5"/>
  <c r="C17" i="8" s="1"/>
  <c r="B8" i="5"/>
  <c r="N5" i="3"/>
  <c r="H7" i="5"/>
  <c r="C10" i="5"/>
  <c r="C16" i="8" s="1"/>
  <c r="G14" i="5"/>
  <c r="H14" i="5" s="1"/>
  <c r="C19" i="5"/>
  <c r="B16" i="5"/>
  <c r="B16" i="6" s="1"/>
  <c r="C18" i="6" s="1"/>
  <c r="B7" i="5"/>
  <c r="N3" i="3"/>
  <c r="B7" i="4" s="1"/>
  <c r="G5" i="8" s="1"/>
  <c r="G11" i="5"/>
  <c r="H11" i="5" s="1"/>
  <c r="C27" i="5"/>
  <c r="B24" i="5"/>
  <c r="B24" i="6" s="1"/>
  <c r="B14" i="5"/>
  <c r="C22" i="5"/>
  <c r="C25" i="6" l="1"/>
  <c r="I7" i="5"/>
  <c r="G13" i="8"/>
  <c r="B16" i="8"/>
  <c r="B10" i="6"/>
  <c r="C28" i="6"/>
  <c r="C27" i="6"/>
  <c r="B6" i="6"/>
  <c r="B12" i="8"/>
  <c r="B17" i="8"/>
  <c r="B11" i="6"/>
  <c r="B21" i="8"/>
  <c r="B15" i="6"/>
  <c r="C17" i="6" s="1"/>
  <c r="B18" i="8"/>
  <c r="B12" i="6"/>
  <c r="C14" i="6" s="1"/>
  <c r="B19" i="8"/>
  <c r="B13" i="6"/>
  <c r="B8" i="6"/>
  <c r="B14" i="8"/>
  <c r="I5" i="5"/>
  <c r="G11" i="8"/>
  <c r="B4" i="6"/>
  <c r="B10" i="8"/>
  <c r="C29" i="6"/>
  <c r="I6" i="5"/>
  <c r="G12" i="8"/>
  <c r="B20" i="8"/>
  <c r="B14" i="6"/>
  <c r="C24" i="6"/>
  <c r="B9" i="6"/>
  <c r="C11" i="6" s="1"/>
  <c r="B15" i="8"/>
  <c r="C30" i="6"/>
  <c r="B11" i="8"/>
  <c r="B5" i="6"/>
  <c r="C20" i="6"/>
  <c r="C26" i="6"/>
  <c r="B10" i="4"/>
  <c r="I4" i="5"/>
  <c r="G10" i="8"/>
  <c r="C23" i="6"/>
  <c r="B13" i="8"/>
  <c r="B7" i="6"/>
  <c r="C19" i="6"/>
  <c r="C22" i="6"/>
  <c r="C13" i="6" l="1"/>
  <c r="C31" i="6"/>
  <c r="C33" i="6" s="1"/>
  <c r="C16" i="6"/>
  <c r="C32" i="6"/>
  <c r="C5" i="6"/>
  <c r="C6" i="6"/>
  <c r="C4" i="6"/>
  <c r="C12" i="6"/>
  <c r="C10" i="6"/>
  <c r="C9" i="6"/>
  <c r="C8" i="6"/>
  <c r="C7" i="6"/>
  <c r="C15" i="6"/>
</calcChain>
</file>

<file path=xl/sharedStrings.xml><?xml version="1.0" encoding="utf-8"?>
<sst xmlns="http://schemas.openxmlformats.org/spreadsheetml/2006/main" count="1351" uniqueCount="105">
  <si>
    <t>Transaction_ID</t>
  </si>
  <si>
    <t>Date</t>
  </si>
  <si>
    <t>Region</t>
  </si>
  <si>
    <t>Product</t>
  </si>
  <si>
    <t>Customer_Segment</t>
  </si>
  <si>
    <t>Sales_Channel</t>
  </si>
  <si>
    <t>Units_Sold</t>
  </si>
  <si>
    <t>Unit_Price</t>
  </si>
  <si>
    <t>Revenue</t>
  </si>
  <si>
    <t>Cost</t>
  </si>
  <si>
    <t>EU</t>
  </si>
  <si>
    <t>Training</t>
  </si>
  <si>
    <t>SMB</t>
  </si>
  <si>
    <t>Direct</t>
  </si>
  <si>
    <t>Software</t>
  </si>
  <si>
    <t>Partner</t>
  </si>
  <si>
    <t>UK</t>
  </si>
  <si>
    <t>Mid-Market</t>
  </si>
  <si>
    <t>Online</t>
  </si>
  <si>
    <t>APAC</t>
  </si>
  <si>
    <t>Hardware</t>
  </si>
  <si>
    <t>Enterprise</t>
  </si>
  <si>
    <t>US</t>
  </si>
  <si>
    <t>Services</t>
  </si>
  <si>
    <t>Public Sector</t>
  </si>
  <si>
    <t>Month</t>
  </si>
  <si>
    <t>Quarter</t>
  </si>
  <si>
    <t>Profit</t>
  </si>
  <si>
    <t>Profit_Margin</t>
  </si>
  <si>
    <t>Business Performance &amp; Forecasting Analysis</t>
  </si>
  <si>
    <t>Metric</t>
  </si>
  <si>
    <t>Value</t>
  </si>
  <si>
    <t>Analyst Notes</t>
  </si>
  <si>
    <t>Total Revenue</t>
  </si>
  <si>
    <t>This workbook simulates the type of performance analysis done by business, financial, and data analysts.</t>
  </si>
  <si>
    <t>Total Cost</t>
  </si>
  <si>
    <t>Use the Scenario_Model sheet to test cost inflation and demand growth assumptions.</t>
  </si>
  <si>
    <t>Total Profit</t>
  </si>
  <si>
    <t>Use the Dashboard sheet for the executive summary and visuals.</t>
  </si>
  <si>
    <t>Average Profit Margin</t>
  </si>
  <si>
    <t>Transactions</t>
  </si>
  <si>
    <t>Average Revenue per Transaction</t>
  </si>
  <si>
    <t>Best Region by Profit</t>
  </si>
  <si>
    <t>Analysis Tables</t>
  </si>
  <si>
    <t>Avg Margin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</si>
  <si>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</si>
  <si>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</si>
  <si>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</si>
  <si>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</si>
  <si>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</si>
  <si>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</si>
  <si>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</si>
  <si>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</si>
  <si>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</si>
  <si>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</si>
  <si>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</si>
  <si>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</si>
  <si>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</si>
  <si>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</si>
  <si>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</si>
  <si>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</si>
  <si>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</si>
  <si>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</si>
  <si>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</si>
  <si>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</si>
  <si>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</si>
  <si>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</si>
  <si>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</si>
  <si>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</si>
  <si>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Revenue Forecast</t>
  </si>
  <si>
    <t>Forecast uses a 3-month moving average; first two rows use startup values so the table has no visual gaps.</t>
  </si>
  <si>
    <t>Actual Revenue</t>
  </si>
  <si>
    <t>3-Month Avg / Forecast</t>
  </si>
  <si>
    <t>Forecast Flag</t>
  </si>
  <si>
    <t>Actual</t>
  </si>
  <si>
    <t>2026-01</t>
  </si>
  <si>
    <t>Forecast</t>
  </si>
  <si>
    <t>2026-02</t>
  </si>
  <si>
    <t>2026-03</t>
  </si>
  <si>
    <t>2026-04</t>
  </si>
  <si>
    <t>2026-05</t>
  </si>
  <si>
    <t>2026-06</t>
  </si>
  <si>
    <t>Scenario Model</t>
  </si>
  <si>
    <t>Adjust demand and cost assumptions to test projected profitability.</t>
  </si>
  <si>
    <t>Inputs</t>
  </si>
  <si>
    <t>Projected Output</t>
  </si>
  <si>
    <t>Base Revenue</t>
  </si>
  <si>
    <t>Projected Revenue</t>
  </si>
  <si>
    <t>Base Cost</t>
  </si>
  <si>
    <t>Projected Cost</t>
  </si>
  <si>
    <t>Demand Growth %</t>
  </si>
  <si>
    <t>Projected Profit</t>
  </si>
  <si>
    <t>Cost Increase %</t>
  </si>
  <si>
    <t>Projected Margin</t>
  </si>
  <si>
    <t>Executive Dashboard</t>
  </si>
  <si>
    <t>Business performance snapshot covering revenue, profitability, and forward-looking forecast metrics.</t>
  </si>
  <si>
    <t>Monthly Performance</t>
  </si>
  <si>
    <t>Regional Performance</t>
  </si>
  <si>
    <t>6-Month Forecast</t>
  </si>
  <si>
    <t>Future Month</t>
  </si>
  <si>
    <t>Forecast Revenue</t>
  </si>
  <si>
    <t>Theme</t>
  </si>
  <si>
    <t>Navy</t>
  </si>
  <si>
    <t>Slate</t>
  </si>
  <si>
    <t>Teal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</si>
</sst>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\$#,##0.00"/>
  </numFmts>
  <fonts count="21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b/>
      <sz val="14"/>
      <color rgb="FFFFFFFF"/>
      <name val="Carlito"/>
    </font>
    <font>
      <b/>
      <sz val="11"/>
      <color rgb="FF1F2937"/>
      <name val="Calibri"/>
    </font>
    <font>
      <sz val="11"/>
      <color rgb="FF1F2937"/>
      <name val="Calibri"/>
    </font>
    <font>
      <b/>
      <sz val="16"/>
      <color rgb="FFFFFFFF"/>
      <name val="Calibri"/>
    </font>
    <font>
      <i/>
      <sz val="10"/>
      <color rgb="FF334155"/>
      <name val="Calibri"/>
    </font>
    <font>
      <b/>
      <sz val="12"/>
      <color rgb="FFFFFFFF"/>
      <name val="Calibri"/>
    </font>
    <font>
      <b/>
      <sz val="12"/>
      <color rgb="FF0F2744"/>
      <name val="Calibri"/>
    </font>
    <font>
      <b/>
      <sz val="14"/>
      <color rgb="FF0F2744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6"/>
      <color rgb="FF0F2744"/>
      <name val="Calibri"/>
    </font>
    <font>
      <i/>
      <sz val="10"/>
      <color rgb="FF5B6573"/>
      <name val="Carlito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ajor"/>
    </font>
    <font>
      <b/>
      <sz val="11"/>
      <color theme="0"/>
      <name val="Calibri"/>
      <family val="2"/>
      <scheme val="major"/>
    </font>
    <font>
      <b/>
      <sz val="12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73F5F"/>
      </patternFill>
    </fill>
    <fill>
      <patternFill patternType="solid">
        <fgColor rgb="FF0F2744"/>
      </patternFill>
    </fill>
    <fill>
      <patternFill patternType="solid">
        <fgColor rgb="FFEAF1F8"/>
      </patternFill>
    </fill>
    <fill>
      <patternFill patternType="solid">
        <fgColor rgb="FF173B63"/>
      </patternFill>
    </fill>
    <fill>
      <patternFill patternType="solid">
        <fgColor rgb="FFF4F7FB"/>
      </patternFill>
    </fill>
    <fill>
      <patternFill patternType="solid">
        <fgColor rgb="FFFFFFFF"/>
      </patternFill>
    </fill>
    <fill>
      <patternFill patternType="solid">
        <fgColor rgb="FFE8F1FB"/>
      </patternFill>
    </fill>
    <fill>
      <patternFill patternType="solid">
        <fgColor rgb="FFF8FAFC"/>
      </patternFill>
    </fill>
    <fill>
      <patternFill patternType="solid">
        <fgColor rgb="FFF4F7FB"/>
      </patternFill>
    </fill>
    <fill>
      <patternFill patternType="solid">
        <fgColor theme="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6" fillId="13" borderId="0" applyNumberFormat="0" applyBorder="0" applyAlignment="0" applyProtection="0"/>
  </cellStyleXfs>
  <cellXfs count="54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/>
    <xf numFmtId="0" fontId="2" fillId="3" borderId="0" xfId="0" applyNumberFormat="1" applyFont="1" applyFill="1" applyBorder="1"/>
    <xf numFmtId="165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/>
    <xf numFmtId="0" fontId="6" fillId="0" borderId="0" xfId="0" applyNumberFormat="1" applyFont="1" applyFill="1" applyBorder="1" applyAlignment="1">
      <alignment vertical="center"/>
    </xf>
    <xf numFmtId="4" fontId="6" fillId="0" borderId="0" xfId="0" applyNumberFormat="1" applyFont="1" applyFill="1" applyBorder="1" applyAlignment="1">
      <alignment vertical="center"/>
    </xf>
    <xf numFmtId="0" fontId="5" fillId="8" borderId="0" xfId="0" applyNumberFormat="1" applyFont="1" applyFill="1" applyBorder="1" applyAlignment="1">
      <alignment vertical="center"/>
    </xf>
    <xf numFmtId="165" fontId="10" fillId="10" borderId="0" xfId="0" applyNumberFormat="1" applyFont="1" applyFill="1" applyBorder="1" applyAlignment="1">
      <alignment horizontal="right" vertical="center"/>
    </xf>
    <xf numFmtId="0" fontId="6" fillId="9" borderId="0" xfId="0" applyNumberFormat="1" applyFont="1" applyFill="1" applyBorder="1" applyAlignment="1">
      <alignment vertical="center"/>
    </xf>
    <xf numFmtId="0" fontId="6" fillId="11" borderId="0" xfId="0" applyNumberFormat="1" applyFont="1" applyFill="1" applyBorder="1" applyAlignment="1">
      <alignment vertical="center"/>
    </xf>
    <xf numFmtId="166" fontId="10" fillId="9" borderId="0" xfId="0" applyNumberFormat="1" applyFont="1" applyFill="1" applyBorder="1" applyAlignment="1">
      <alignment horizontal="right" vertical="center"/>
    </xf>
    <xf numFmtId="0" fontId="5" fillId="3" borderId="0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Border="1" applyAlignment="1">
      <alignment horizontal="center" vertical="center"/>
    </xf>
    <xf numFmtId="0" fontId="5" fillId="8" borderId="0" xfId="0" applyNumberFormat="1" applyFont="1" applyFill="1" applyBorder="1" applyAlignment="1">
      <alignment horizontal="center" vertical="center"/>
    </xf>
    <xf numFmtId="4" fontId="5" fillId="8" borderId="0" xfId="0" applyNumberFormat="1" applyFont="1" applyFill="1" applyBorder="1" applyAlignment="1">
      <alignment horizontal="center" vertical="center"/>
    </xf>
    <xf numFmtId="166" fontId="6" fillId="9" borderId="0" xfId="0" applyNumberFormat="1" applyFont="1" applyFill="1" applyBorder="1" applyAlignment="1">
      <alignment vertical="center"/>
    </xf>
    <xf numFmtId="166" fontId="6" fillId="11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/>
    <xf numFmtId="0" fontId="3" fillId="4" borderId="0" xfId="0" applyNumberFormat="1" applyFont="1" applyFill="1" applyBorder="1" applyAlignment="1">
      <alignment horizontal="center"/>
    </xf>
    <xf numFmtId="0" fontId="0" fillId="0" borderId="0" xfId="0"/>
    <xf numFmtId="0" fontId="2" fillId="3" borderId="0" xfId="0" applyNumberFormat="1" applyFont="1" applyFill="1" applyBorder="1"/>
    <xf numFmtId="0" fontId="4" fillId="4" borderId="0" xfId="0" applyNumberFormat="1" applyFont="1" applyFill="1" applyBorder="1" applyAlignment="1">
      <alignment horizontal="center"/>
    </xf>
    <xf numFmtId="0" fontId="15" fillId="12" borderId="0" xfId="0" applyNumberFormat="1" applyFont="1" applyFill="1" applyBorder="1"/>
    <xf numFmtId="0" fontId="7" fillId="5" borderId="0" xfId="0" applyNumberFormat="1" applyFont="1" applyFill="1" applyBorder="1" applyAlignment="1">
      <alignment horizontal="center" vertical="center"/>
    </xf>
    <xf numFmtId="0" fontId="8" fillId="6" borderId="0" xfId="0" applyNumberFormat="1" applyFont="1" applyFill="1" applyBorder="1" applyAlignment="1">
      <alignment horizontal="center" vertical="center"/>
    </xf>
    <xf numFmtId="0" fontId="9" fillId="7" borderId="0" xfId="0" applyNumberFormat="1" applyFont="1" applyFill="1" applyBorder="1" applyAlignment="1">
      <alignment horizontal="center" vertical="center"/>
    </xf>
    <xf numFmtId="4" fontId="9" fillId="7" borderId="0" xfId="0" applyNumberFormat="1" applyFont="1" applyFill="1" applyBorder="1" applyAlignment="1">
      <alignment horizontal="center" vertical="center"/>
    </xf>
    <xf numFmtId="166" fontId="11" fillId="9" borderId="0" xfId="0" applyNumberFormat="1" applyFont="1" applyFill="1" applyBorder="1" applyAlignment="1">
      <alignment horizontal="center" vertical="center"/>
    </xf>
    <xf numFmtId="0" fontId="11" fillId="9" borderId="0" xfId="0" applyNumberFormat="1" applyFont="1" applyFill="1" applyBorder="1" applyAlignment="1">
      <alignment horizontal="center" vertical="center"/>
    </xf>
    <xf numFmtId="165" fontId="11" fillId="9" borderId="0" xfId="0" applyNumberFormat="1" applyFont="1" applyFill="1" applyBorder="1" applyAlignment="1">
      <alignment horizontal="center" vertical="center"/>
    </xf>
    <xf numFmtId="0" fontId="12" fillId="5" borderId="0" xfId="0" applyNumberFormat="1" applyFont="1" applyFill="1" applyBorder="1" applyAlignment="1">
      <alignment horizontal="center" vertical="center"/>
    </xf>
    <xf numFmtId="4" fontId="13" fillId="7" borderId="0" xfId="0" applyNumberFormat="1" applyFont="1" applyFill="1" applyBorder="1" applyAlignment="1">
      <alignment horizontal="center" vertical="center"/>
    </xf>
    <xf numFmtId="166" fontId="14" fillId="9" borderId="0" xfId="0" applyNumberFormat="1" applyFont="1" applyFill="1" applyBorder="1" applyAlignment="1">
      <alignment horizontal="center" vertical="center"/>
    </xf>
    <xf numFmtId="4" fontId="14" fillId="9" borderId="0" xfId="0" applyNumberFormat="1" applyFont="1" applyFill="1" applyBorder="1" applyAlignment="1">
      <alignment horizontal="center" vertical="center"/>
    </xf>
    <xf numFmtId="0" fontId="14" fillId="9" borderId="0" xfId="0" applyNumberFormat="1" applyFont="1" applyFill="1" applyBorder="1" applyAlignment="1">
      <alignment horizontal="center" vertical="center"/>
    </xf>
    <xf numFmtId="165" fontId="13" fillId="7" borderId="0" xfId="0" applyNumberFormat="1" applyFont="1" applyFill="1" applyBorder="1" applyAlignment="1">
      <alignment horizontal="center" vertical="center"/>
    </xf>
    <xf numFmtId="165" fontId="14" fillId="9" borderId="0" xfId="0" applyNumberFormat="1" applyFont="1" applyFill="1" applyBorder="1" applyAlignment="1">
      <alignment horizontal="center" vertical="center"/>
    </xf>
    <xf numFmtId="1" fontId="13" fillId="7" borderId="0" xfId="0" applyNumberFormat="1" applyFont="1" applyFill="1" applyBorder="1" applyAlignment="1">
      <alignment horizontal="center" vertical="center"/>
    </xf>
    <xf numFmtId="1" fontId="14" fillId="9" borderId="0" xfId="0" applyNumberFormat="1" applyFont="1" applyFill="1" applyBorder="1" applyAlignment="1">
      <alignment horizontal="center" vertical="center"/>
    </xf>
    <xf numFmtId="0" fontId="13" fillId="7" borderId="0" xfId="0" applyNumberFormat="1" applyFont="1" applyFill="1" applyBorder="1" applyAlignment="1">
      <alignment horizontal="center" vertical="center"/>
    </xf>
    <xf numFmtId="4" fontId="0" fillId="0" borderId="0" xfId="0" applyNumberFormat="1" applyFont="1" applyFill="1" applyBorder="1" applyAlignment="1">
      <alignment horizontal="right"/>
    </xf>
    <xf numFmtId="0" fontId="17" fillId="0" borderId="0" xfId="0" applyFont="1"/>
    <xf numFmtId="164" fontId="17" fillId="0" borderId="0" xfId="0" applyNumberFormat="1" applyFont="1" applyFill="1" applyBorder="1"/>
    <xf numFmtId="4" fontId="17" fillId="0" borderId="0" xfId="0" applyNumberFormat="1" applyFont="1" applyFill="1" applyBorder="1"/>
    <xf numFmtId="0" fontId="18" fillId="0" borderId="0" xfId="0" applyFont="1"/>
    <xf numFmtId="164" fontId="18" fillId="0" borderId="0" xfId="0" applyNumberFormat="1" applyFont="1" applyFill="1" applyBorder="1"/>
    <xf numFmtId="4" fontId="18" fillId="0" borderId="0" xfId="0" applyNumberFormat="1" applyFont="1" applyFill="1" applyBorder="1"/>
    <xf numFmtId="165" fontId="18" fillId="0" borderId="0" xfId="0" applyNumberFormat="1" applyFont="1" applyFill="1" applyBorder="1"/>
    <xf numFmtId="0" fontId="19" fillId="14" borderId="0" xfId="1" applyNumberFormat="1" applyFont="1" applyFill="1" applyBorder="1" applyAlignment="1">
      <alignment horizontal="center"/>
    </xf>
    <xf numFmtId="0" fontId="20" fillId="7" borderId="0" xfId="0" applyNumberFormat="1" applyFont="1" applyFill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Monthly Revenue and Profit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cat>
            <c:strRef>
              <c:f>Dashboard!$A$9:$A$20</c:f>
              <c:strCache>
                <c:ptCount val="12"/>
                <c:pt idx="0">
                  <c:v>Month</c:v>
                </c:pt>
                <c:pt idx="1">
                  <c:v>2024-01</c:v>
                </c:pt>
                <c:pt idx="2">
                  <c:v>2024-02</c:v>
                </c:pt>
                <c:pt idx="3">
                  <c:v>2024-03</c:v>
                </c:pt>
                <c:pt idx="4">
                  <c:v>2024-04</c:v>
                </c:pt>
                <c:pt idx="5">
                  <c:v>2024-05</c:v>
                </c:pt>
                <c:pt idx="6">
                  <c:v>2024-06</c:v>
                </c:pt>
                <c:pt idx="7">
                  <c:v>2024-07</c:v>
                </c:pt>
                <c:pt idx="8">
                  <c:v>2024-08</c:v>
                </c:pt>
                <c:pt idx="9">
                  <c:v>2024-09</c:v>
                </c:pt>
                <c:pt idx="10">
                  <c:v>2024-10</c:v>
                </c:pt>
                <c:pt idx="11">
                  <c:v>2024-11</c:v>
                </c:pt>
              </c:strCache>
            </c:strRef>
          </c:cat>
          <c:val>
            <c:numRef>
              <c:f>Dashboard!$B$9:$B$20</c:f>
              <c:numCache>
                <c:formatCode>\$#,##0.00</c:formatCode>
                <c:ptCount val="12"/>
                <c:pt idx="0" formatCode="#,##0.00">
                  <c:v>0</c:v>
                </c:pt>
                <c:pt idx="1">
                  <c:v>719581.17999999993</c:v>
                </c:pt>
                <c:pt idx="2">
                  <c:v>369294.8</c:v>
                </c:pt>
                <c:pt idx="3">
                  <c:v>536659.86</c:v>
                </c:pt>
                <c:pt idx="4">
                  <c:v>387342.67</c:v>
                </c:pt>
                <c:pt idx="5">
                  <c:v>447343.82</c:v>
                </c:pt>
                <c:pt idx="6">
                  <c:v>397700.41</c:v>
                </c:pt>
                <c:pt idx="7">
                  <c:v>330833.76</c:v>
                </c:pt>
                <c:pt idx="8">
                  <c:v>451260.22000000003</c:v>
                </c:pt>
                <c:pt idx="9">
                  <c:v>557545.49</c:v>
                </c:pt>
                <c:pt idx="10">
                  <c:v>531806.72000000009</c:v>
                </c:pt>
                <c:pt idx="11">
                  <c:v>386851.62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3-48ED-BE4D-52DE1DCBA72D}"/>
            </c:ext>
          </c:extLst>
        </c:ser>
        <c:ser>
          <c:idx val="1"/>
          <c:order val="1"/>
          <c:tx>
            <c:v>Profit</c:v>
          </c:tx>
          <c:cat>
            <c:strRef>
              <c:f>Dashboard!$A$9:$A$20</c:f>
              <c:strCache>
                <c:ptCount val="12"/>
                <c:pt idx="0">
                  <c:v>Month</c:v>
                </c:pt>
                <c:pt idx="1">
                  <c:v>2024-01</c:v>
                </c:pt>
                <c:pt idx="2">
                  <c:v>2024-02</c:v>
                </c:pt>
                <c:pt idx="3">
                  <c:v>2024-03</c:v>
                </c:pt>
                <c:pt idx="4">
                  <c:v>2024-04</c:v>
                </c:pt>
                <c:pt idx="5">
                  <c:v>2024-05</c:v>
                </c:pt>
                <c:pt idx="6">
                  <c:v>2024-06</c:v>
                </c:pt>
                <c:pt idx="7">
                  <c:v>2024-07</c:v>
                </c:pt>
                <c:pt idx="8">
                  <c:v>2024-08</c:v>
                </c:pt>
                <c:pt idx="9">
                  <c:v>2024-09</c:v>
                </c:pt>
                <c:pt idx="10">
                  <c:v>2024-10</c:v>
                </c:pt>
                <c:pt idx="11">
                  <c:v>2024-11</c:v>
                </c:pt>
              </c:strCache>
            </c:strRef>
          </c:cat>
          <c:val>
            <c:numRef>
              <c:f>Dashboard!$C$9:$C$20</c:f>
              <c:numCache>
                <c:formatCode>\$#,##0.00</c:formatCode>
                <c:ptCount val="12"/>
                <c:pt idx="0" formatCode="#,##0.00">
                  <c:v>0</c:v>
                </c:pt>
                <c:pt idx="1">
                  <c:v>319012.74</c:v>
                </c:pt>
                <c:pt idx="2">
                  <c:v>178770.78999999998</c:v>
                </c:pt>
                <c:pt idx="3">
                  <c:v>251595.25000000009</c:v>
                </c:pt>
                <c:pt idx="4">
                  <c:v>165307.96</c:v>
                </c:pt>
                <c:pt idx="5">
                  <c:v>196156.03999999998</c:v>
                </c:pt>
                <c:pt idx="6">
                  <c:v>179423.12000000002</c:v>
                </c:pt>
                <c:pt idx="7">
                  <c:v>156613.19</c:v>
                </c:pt>
                <c:pt idx="8">
                  <c:v>163218.07999999999</c:v>
                </c:pt>
                <c:pt idx="9">
                  <c:v>254601.56</c:v>
                </c:pt>
                <c:pt idx="10">
                  <c:v>239006.09</c:v>
                </c:pt>
                <c:pt idx="11">
                  <c:v>163526.22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3-48ED-BE4D-52DE1DCBA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Regional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Dashboard!$E$9:$E$12</c:f>
              <c:strCache>
                <c:ptCount val="4"/>
                <c:pt idx="0">
                  <c:v>Region</c:v>
                </c:pt>
                <c:pt idx="1">
                  <c:v>UK</c:v>
                </c:pt>
                <c:pt idx="2">
                  <c:v>EU</c:v>
                </c:pt>
                <c:pt idx="3">
                  <c:v>US</c:v>
                </c:pt>
              </c:strCache>
            </c:strRef>
          </c:cat>
          <c:val>
            <c:numRef>
              <c:f>Dashboard!$F$9:$F$12</c:f>
              <c:numCache>
                <c:formatCode>\$#,##0.00</c:formatCode>
                <c:ptCount val="4"/>
                <c:pt idx="0" formatCode="#,##0.00">
                  <c:v>0</c:v>
                </c:pt>
                <c:pt idx="1">
                  <c:v>3652755.88</c:v>
                </c:pt>
                <c:pt idx="2">
                  <c:v>3964741.7600000002</c:v>
                </c:pt>
                <c:pt idx="3">
                  <c:v>3324522.8300000005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7-4389-958A-2E1F6166A518}"/>
            </c:ext>
          </c:extLst>
        </c:ser>
        <c:ser>
          <c:idx val="1"/>
          <c:order val="1"/>
          <c:tx>
            <c:v>Profit</c:v>
          </c:tx>
          <c:invertIfNegative val="1"/>
          <c:cat>
            <c:strRef>
              <c:f>Dashboard!$E$9:$E$12</c:f>
              <c:strCache>
                <c:ptCount val="4"/>
                <c:pt idx="0">
                  <c:v>Region</c:v>
                </c:pt>
                <c:pt idx="1">
                  <c:v>UK</c:v>
                </c:pt>
                <c:pt idx="2">
                  <c:v>EU</c:v>
                </c:pt>
                <c:pt idx="3">
                  <c:v>US</c:v>
                </c:pt>
              </c:strCache>
            </c:strRef>
          </c:cat>
          <c:val>
            <c:numRef>
              <c:f>Dashboard!$G$9:$G$12</c:f>
              <c:numCache>
                <c:formatCode>\$#,##0.00</c:formatCode>
                <c:ptCount val="4"/>
                <c:pt idx="0" formatCode="#,##0.00">
                  <c:v>0</c:v>
                </c:pt>
                <c:pt idx="1">
                  <c:v>1651493.0299999998</c:v>
                </c:pt>
                <c:pt idx="2">
                  <c:v>1794212.0799999998</c:v>
                </c:pt>
                <c:pt idx="3">
                  <c:v>1512023.5100000002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7-4389-958A-2E1F6166A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6-Month Revenue Forecast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Forecast Revenue</c:v>
          </c:tx>
          <c:invertIfNegative val="1"/>
          <c:cat>
            <c:strRef>
              <c:f>Dashboard!$I$9:$I$14</c:f>
              <c:strCache>
                <c:ptCount val="6"/>
                <c:pt idx="0">
                  <c:v>Future Month</c:v>
                </c:pt>
                <c:pt idx="1">
                  <c:v>2026-01</c:v>
                </c:pt>
                <c:pt idx="2">
                  <c:v>2026-02</c:v>
                </c:pt>
                <c:pt idx="3">
                  <c:v>2026-03</c:v>
                </c:pt>
                <c:pt idx="4">
                  <c:v>2026-04</c:v>
                </c:pt>
                <c:pt idx="5">
                  <c:v>2026-05</c:v>
                </c:pt>
              </c:strCache>
            </c:strRef>
          </c:cat>
          <c:val>
            <c:numRef>
              <c:f>Dashboard!$J$9:$J$14</c:f>
              <c:numCache>
                <c:formatCode>\$#,##0.00</c:formatCode>
                <c:ptCount val="6"/>
                <c:pt idx="0" formatCode="#,##0.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9-4F6D-BE98-072933959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9"/>
  <sheetViews>
    <sheetView workbookViewId="0">
      <selection activeCell="B1" sqref="B1"/>
    </sheetView>
  </sheetViews>
  <sheetFormatPr defaultRowHeight="14.25"/>
  <cols>
    <col min="1" max="1" width="16" customWidth="1"/>
    <col min="2" max="2" width="9.125" bestFit="1" customWidth="1"/>
    <col min="3" max="3" width="7.25" customWidth="1"/>
    <col min="4" max="4" width="10.625" customWidth="1"/>
    <col min="5" max="5" width="21.25" customWidth="1"/>
    <col min="6" max="6" width="15.625" customWidth="1"/>
    <col min="7" max="7" width="11.625" customWidth="1"/>
    <col min="8" max="8" width="11.25" customWidth="1"/>
    <col min="9" max="9" width="12" customWidth="1"/>
    <col min="10" max="10" width="10.75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>
      <c r="A2" s="45">
        <v>1</v>
      </c>
      <c r="B2" s="46">
        <v>45297</v>
      </c>
      <c r="C2" s="45" t="s">
        <v>10</v>
      </c>
      <c r="D2" s="45" t="s">
        <v>11</v>
      </c>
      <c r="E2" s="45" t="s">
        <v>12</v>
      </c>
      <c r="F2" s="45" t="s">
        <v>13</v>
      </c>
      <c r="G2" s="47">
        <v>152</v>
      </c>
      <c r="H2" s="47">
        <v>173.19</v>
      </c>
      <c r="I2" s="47">
        <v>26324.880000000001</v>
      </c>
      <c r="J2" s="47">
        <v>12843.41</v>
      </c>
    </row>
    <row r="3" spans="1:10" ht="15">
      <c r="A3" s="45">
        <v>2</v>
      </c>
      <c r="B3" s="46">
        <v>45302</v>
      </c>
      <c r="C3" s="45" t="s">
        <v>10</v>
      </c>
      <c r="D3" s="45" t="s">
        <v>14</v>
      </c>
      <c r="E3" s="45" t="s">
        <v>12</v>
      </c>
      <c r="F3" s="45" t="s">
        <v>15</v>
      </c>
      <c r="G3" s="47">
        <v>122</v>
      </c>
      <c r="H3" s="47">
        <v>399.65</v>
      </c>
      <c r="I3" s="47">
        <v>48757.3</v>
      </c>
      <c r="J3" s="47">
        <v>19302.84</v>
      </c>
    </row>
    <row r="4" spans="1:10" ht="15">
      <c r="A4" s="45">
        <v>3</v>
      </c>
      <c r="B4" s="46">
        <v>45304</v>
      </c>
      <c r="C4" s="45" t="s">
        <v>16</v>
      </c>
      <c r="D4" s="45" t="s">
        <v>14</v>
      </c>
      <c r="E4" s="45" t="s">
        <v>17</v>
      </c>
      <c r="F4" s="45" t="s">
        <v>18</v>
      </c>
      <c r="G4" s="47">
        <v>175</v>
      </c>
      <c r="H4" s="47">
        <v>439.79</v>
      </c>
      <c r="I4" s="47">
        <v>76963.25</v>
      </c>
      <c r="J4" s="47">
        <v>30325.14</v>
      </c>
    </row>
    <row r="5" spans="1:10" ht="15">
      <c r="A5" s="45">
        <v>4</v>
      </c>
      <c r="B5" s="46">
        <v>45308</v>
      </c>
      <c r="C5" s="45" t="s">
        <v>19</v>
      </c>
      <c r="D5" s="45" t="s">
        <v>14</v>
      </c>
      <c r="E5" s="45" t="s">
        <v>17</v>
      </c>
      <c r="F5" s="45" t="s">
        <v>13</v>
      </c>
      <c r="G5" s="47">
        <v>157</v>
      </c>
      <c r="H5" s="47">
        <v>423.5</v>
      </c>
      <c r="I5" s="47">
        <v>66489.5</v>
      </c>
      <c r="J5" s="47">
        <v>27182.54</v>
      </c>
    </row>
    <row r="6" spans="1:10" ht="15">
      <c r="A6" s="45">
        <v>5</v>
      </c>
      <c r="B6" s="46">
        <v>45308</v>
      </c>
      <c r="C6" s="45" t="s">
        <v>16</v>
      </c>
      <c r="D6" s="45" t="s">
        <v>20</v>
      </c>
      <c r="E6" s="45" t="s">
        <v>17</v>
      </c>
      <c r="F6" s="45" t="s">
        <v>13</v>
      </c>
      <c r="G6" s="47">
        <v>163</v>
      </c>
      <c r="H6" s="47">
        <v>532.96</v>
      </c>
      <c r="I6" s="47">
        <v>86872.48</v>
      </c>
      <c r="J6" s="47">
        <v>57527.97</v>
      </c>
    </row>
    <row r="7" spans="1:10" ht="15">
      <c r="A7" s="45">
        <v>6</v>
      </c>
      <c r="B7" s="46">
        <v>45310</v>
      </c>
      <c r="C7" s="45" t="s">
        <v>16</v>
      </c>
      <c r="D7" s="45" t="s">
        <v>14</v>
      </c>
      <c r="E7" s="45" t="s">
        <v>17</v>
      </c>
      <c r="F7" s="45" t="s">
        <v>15</v>
      </c>
      <c r="G7" s="47">
        <v>189</v>
      </c>
      <c r="H7" s="47">
        <v>437.94</v>
      </c>
      <c r="I7" s="47">
        <v>82770.66</v>
      </c>
      <c r="J7" s="47">
        <v>36462.120000000003</v>
      </c>
    </row>
    <row r="8" spans="1:10" ht="15">
      <c r="A8" s="45">
        <v>7</v>
      </c>
      <c r="B8" s="46">
        <v>45316</v>
      </c>
      <c r="C8" s="45" t="s">
        <v>19</v>
      </c>
      <c r="D8" s="45" t="s">
        <v>20</v>
      </c>
      <c r="E8" s="45" t="s">
        <v>21</v>
      </c>
      <c r="F8" s="45" t="s">
        <v>13</v>
      </c>
      <c r="G8" s="47">
        <v>218</v>
      </c>
      <c r="H8" s="47">
        <v>606.71</v>
      </c>
      <c r="I8" s="47">
        <v>132262.78</v>
      </c>
      <c r="J8" s="47">
        <v>92675.07</v>
      </c>
    </row>
    <row r="9" spans="1:10" ht="15">
      <c r="A9" s="45">
        <v>8</v>
      </c>
      <c r="B9" s="46">
        <v>45316</v>
      </c>
      <c r="C9" s="45" t="s">
        <v>22</v>
      </c>
      <c r="D9" s="45" t="s">
        <v>11</v>
      </c>
      <c r="E9" s="45" t="s">
        <v>21</v>
      </c>
      <c r="F9" s="45" t="s">
        <v>18</v>
      </c>
      <c r="G9" s="47">
        <v>129</v>
      </c>
      <c r="H9" s="47">
        <v>281.49</v>
      </c>
      <c r="I9" s="47">
        <v>36312.21</v>
      </c>
      <c r="J9" s="47">
        <v>18653.990000000002</v>
      </c>
    </row>
    <row r="10" spans="1:10" ht="15">
      <c r="A10" s="45">
        <v>9</v>
      </c>
      <c r="B10" s="46">
        <v>45319</v>
      </c>
      <c r="C10" s="45" t="s">
        <v>19</v>
      </c>
      <c r="D10" s="45" t="s">
        <v>23</v>
      </c>
      <c r="E10" s="45" t="s">
        <v>21</v>
      </c>
      <c r="F10" s="45" t="s">
        <v>13</v>
      </c>
      <c r="G10" s="47">
        <v>140</v>
      </c>
      <c r="H10" s="47">
        <v>372.97</v>
      </c>
      <c r="I10" s="47">
        <v>52215.8</v>
      </c>
      <c r="J10" s="47">
        <v>30417.33</v>
      </c>
    </row>
    <row r="11" spans="1:10" ht="15">
      <c r="A11" s="45">
        <v>10</v>
      </c>
      <c r="B11" s="46">
        <v>45322</v>
      </c>
      <c r="C11" s="45" t="s">
        <v>22</v>
      </c>
      <c r="D11" s="45" t="s">
        <v>20</v>
      </c>
      <c r="E11" s="45" t="s">
        <v>21</v>
      </c>
      <c r="F11" s="45" t="s">
        <v>18</v>
      </c>
      <c r="G11" s="47">
        <v>142</v>
      </c>
      <c r="H11" s="47">
        <v>778.96</v>
      </c>
      <c r="I11" s="47">
        <v>110612.32</v>
      </c>
      <c r="J11" s="47">
        <v>75178.03</v>
      </c>
    </row>
    <row r="12" spans="1:10" ht="15">
      <c r="A12" s="45">
        <v>11</v>
      </c>
      <c r="B12" s="46">
        <v>45325</v>
      </c>
      <c r="C12" s="45" t="s">
        <v>22</v>
      </c>
      <c r="D12" s="45" t="s">
        <v>11</v>
      </c>
      <c r="E12" s="45" t="s">
        <v>12</v>
      </c>
      <c r="F12" s="45" t="s">
        <v>13</v>
      </c>
      <c r="G12" s="47">
        <v>202</v>
      </c>
      <c r="H12" s="47">
        <v>218.22</v>
      </c>
      <c r="I12" s="47">
        <v>44080.44</v>
      </c>
      <c r="J12" s="47">
        <v>21690.37</v>
      </c>
    </row>
    <row r="13" spans="1:10" ht="15">
      <c r="A13" s="45">
        <v>12</v>
      </c>
      <c r="B13" s="46">
        <v>45331</v>
      </c>
      <c r="C13" s="45" t="s">
        <v>22</v>
      </c>
      <c r="D13" s="45" t="s">
        <v>11</v>
      </c>
      <c r="E13" s="45" t="s">
        <v>21</v>
      </c>
      <c r="F13" s="45" t="s">
        <v>13</v>
      </c>
      <c r="G13" s="47">
        <v>133</v>
      </c>
      <c r="H13" s="47">
        <v>292.07</v>
      </c>
      <c r="I13" s="47">
        <v>38845.31</v>
      </c>
      <c r="J13" s="47">
        <v>19022.93</v>
      </c>
    </row>
    <row r="14" spans="1:10" ht="15">
      <c r="A14" s="45">
        <v>13</v>
      </c>
      <c r="B14" s="46">
        <v>45334</v>
      </c>
      <c r="C14" s="45" t="s">
        <v>16</v>
      </c>
      <c r="D14" s="45" t="s">
        <v>23</v>
      </c>
      <c r="E14" s="45" t="s">
        <v>21</v>
      </c>
      <c r="F14" s="45" t="s">
        <v>13</v>
      </c>
      <c r="G14" s="47">
        <v>204</v>
      </c>
      <c r="H14" s="47">
        <v>401.95</v>
      </c>
      <c r="I14" s="47">
        <v>81997.8</v>
      </c>
      <c r="J14" s="47">
        <v>44722.559999999998</v>
      </c>
    </row>
    <row r="15" spans="1:10" ht="15">
      <c r="A15" s="45">
        <v>14</v>
      </c>
      <c r="B15" s="46">
        <v>45337</v>
      </c>
      <c r="C15" s="45" t="s">
        <v>16</v>
      </c>
      <c r="D15" s="45" t="s">
        <v>23</v>
      </c>
      <c r="E15" s="45" t="s">
        <v>24</v>
      </c>
      <c r="F15" s="45" t="s">
        <v>15</v>
      </c>
      <c r="G15" s="47">
        <v>155</v>
      </c>
      <c r="H15" s="47">
        <v>346.68</v>
      </c>
      <c r="I15" s="47">
        <v>53735.4</v>
      </c>
      <c r="J15" s="47">
        <v>28420.66</v>
      </c>
    </row>
    <row r="16" spans="1:10" ht="15">
      <c r="A16" s="45">
        <v>15</v>
      </c>
      <c r="B16" s="46">
        <v>45340</v>
      </c>
      <c r="C16" s="45" t="s">
        <v>22</v>
      </c>
      <c r="D16" s="45" t="s">
        <v>11</v>
      </c>
      <c r="E16" s="45" t="s">
        <v>21</v>
      </c>
      <c r="F16" s="45" t="s">
        <v>18</v>
      </c>
      <c r="G16" s="47">
        <v>112</v>
      </c>
      <c r="H16" s="47">
        <v>313.75</v>
      </c>
      <c r="I16" s="47">
        <v>35140</v>
      </c>
      <c r="J16" s="47">
        <v>16157.72</v>
      </c>
    </row>
    <row r="17" spans="1:10" ht="15">
      <c r="A17" s="45">
        <v>16</v>
      </c>
      <c r="B17" s="46">
        <v>45341</v>
      </c>
      <c r="C17" s="45" t="s">
        <v>10</v>
      </c>
      <c r="D17" s="45" t="s">
        <v>23</v>
      </c>
      <c r="E17" s="45" t="s">
        <v>17</v>
      </c>
      <c r="F17" s="45" t="s">
        <v>13</v>
      </c>
      <c r="G17" s="47">
        <v>139</v>
      </c>
      <c r="H17" s="47">
        <v>369.91</v>
      </c>
      <c r="I17" s="47">
        <v>51417.49</v>
      </c>
      <c r="J17" s="47">
        <v>27346.51</v>
      </c>
    </row>
    <row r="18" spans="1:10" ht="15">
      <c r="A18" s="45">
        <v>17</v>
      </c>
      <c r="B18" s="46">
        <v>45345</v>
      </c>
      <c r="C18" s="45" t="s">
        <v>16</v>
      </c>
      <c r="D18" s="45" t="s">
        <v>23</v>
      </c>
      <c r="E18" s="45" t="s">
        <v>24</v>
      </c>
      <c r="F18" s="45" t="s">
        <v>18</v>
      </c>
      <c r="G18" s="47">
        <v>109</v>
      </c>
      <c r="H18" s="47">
        <v>358.63</v>
      </c>
      <c r="I18" s="47">
        <v>39090.67</v>
      </c>
      <c r="J18" s="47">
        <v>21136.71</v>
      </c>
    </row>
    <row r="19" spans="1:10" ht="15">
      <c r="A19" s="45">
        <v>18</v>
      </c>
      <c r="B19" s="46">
        <v>45347</v>
      </c>
      <c r="C19" s="45" t="s">
        <v>16</v>
      </c>
      <c r="D19" s="45" t="s">
        <v>11</v>
      </c>
      <c r="E19" s="45" t="s">
        <v>24</v>
      </c>
      <c r="F19" s="45" t="s">
        <v>15</v>
      </c>
      <c r="G19" s="47">
        <v>117</v>
      </c>
      <c r="H19" s="47">
        <v>213.57</v>
      </c>
      <c r="I19" s="47">
        <v>24987.69</v>
      </c>
      <c r="J19" s="47">
        <v>12026.55</v>
      </c>
    </row>
    <row r="20" spans="1:10" ht="15">
      <c r="A20" s="45">
        <v>19</v>
      </c>
      <c r="B20" s="46">
        <v>45352</v>
      </c>
      <c r="C20" s="45" t="s">
        <v>16</v>
      </c>
      <c r="D20" s="45" t="s">
        <v>23</v>
      </c>
      <c r="E20" s="45" t="s">
        <v>12</v>
      </c>
      <c r="F20" s="45" t="s">
        <v>13</v>
      </c>
      <c r="G20" s="47">
        <v>127</v>
      </c>
      <c r="H20" s="47">
        <v>282.47000000000003</v>
      </c>
      <c r="I20" s="47">
        <v>35873.69</v>
      </c>
      <c r="J20" s="47">
        <v>19447.25</v>
      </c>
    </row>
    <row r="21" spans="1:10" ht="15">
      <c r="A21" s="45">
        <v>20</v>
      </c>
      <c r="B21" s="46">
        <v>45352</v>
      </c>
      <c r="C21" s="45" t="s">
        <v>16</v>
      </c>
      <c r="D21" s="45" t="s">
        <v>14</v>
      </c>
      <c r="E21" s="45" t="s">
        <v>17</v>
      </c>
      <c r="F21" s="45" t="s">
        <v>18</v>
      </c>
      <c r="G21" s="47">
        <v>40</v>
      </c>
      <c r="H21" s="47">
        <v>469.76</v>
      </c>
      <c r="I21" s="47">
        <v>18790.400000000001</v>
      </c>
      <c r="J21" s="47">
        <v>8077.86</v>
      </c>
    </row>
    <row r="22" spans="1:10" ht="15">
      <c r="A22" s="45">
        <v>21</v>
      </c>
      <c r="B22" s="46">
        <v>45355</v>
      </c>
      <c r="C22" s="45" t="s">
        <v>10</v>
      </c>
      <c r="D22" s="45" t="s">
        <v>11</v>
      </c>
      <c r="E22" s="45" t="s">
        <v>17</v>
      </c>
      <c r="F22" s="45" t="s">
        <v>18</v>
      </c>
      <c r="G22" s="47">
        <v>79</v>
      </c>
      <c r="H22" s="47">
        <v>238.01</v>
      </c>
      <c r="I22" s="47">
        <v>18802.79</v>
      </c>
      <c r="J22" s="47">
        <v>9197.35</v>
      </c>
    </row>
    <row r="23" spans="1:10" ht="15">
      <c r="A23" s="45">
        <v>22</v>
      </c>
      <c r="B23" s="46">
        <v>45361</v>
      </c>
      <c r="C23" s="45" t="s">
        <v>16</v>
      </c>
      <c r="D23" s="45" t="s">
        <v>14</v>
      </c>
      <c r="E23" s="45" t="s">
        <v>24</v>
      </c>
      <c r="F23" s="45" t="s">
        <v>15</v>
      </c>
      <c r="G23" s="47">
        <v>137</v>
      </c>
      <c r="H23" s="47">
        <v>484.77</v>
      </c>
      <c r="I23" s="47">
        <v>66413.490000000005</v>
      </c>
      <c r="J23" s="47">
        <v>26272.01</v>
      </c>
    </row>
    <row r="24" spans="1:10" ht="15">
      <c r="A24" s="45">
        <v>23</v>
      </c>
      <c r="B24" s="46">
        <v>45361</v>
      </c>
      <c r="C24" s="45" t="s">
        <v>22</v>
      </c>
      <c r="D24" s="45" t="s">
        <v>20</v>
      </c>
      <c r="E24" s="45" t="s">
        <v>24</v>
      </c>
      <c r="F24" s="45" t="s">
        <v>18</v>
      </c>
      <c r="G24" s="47">
        <v>56</v>
      </c>
      <c r="H24" s="47">
        <v>696.03</v>
      </c>
      <c r="I24" s="47">
        <v>38977.68</v>
      </c>
      <c r="J24" s="47">
        <v>25855.41</v>
      </c>
    </row>
    <row r="25" spans="1:10" ht="15">
      <c r="A25" s="45">
        <v>24</v>
      </c>
      <c r="B25" s="46">
        <v>45368</v>
      </c>
      <c r="C25" s="45" t="s">
        <v>22</v>
      </c>
      <c r="D25" s="45" t="s">
        <v>23</v>
      </c>
      <c r="E25" s="45" t="s">
        <v>12</v>
      </c>
      <c r="F25" s="45" t="s">
        <v>18</v>
      </c>
      <c r="G25" s="47">
        <v>91</v>
      </c>
      <c r="H25" s="47">
        <v>364.88</v>
      </c>
      <c r="I25" s="47">
        <v>33204.080000000002</v>
      </c>
      <c r="J25" s="47">
        <v>19129.41</v>
      </c>
    </row>
    <row r="26" spans="1:10" ht="15">
      <c r="A26" s="45">
        <v>25</v>
      </c>
      <c r="B26" s="46">
        <v>45369</v>
      </c>
      <c r="C26" s="45" t="s">
        <v>22</v>
      </c>
      <c r="D26" s="45" t="s">
        <v>23</v>
      </c>
      <c r="E26" s="45" t="s">
        <v>21</v>
      </c>
      <c r="F26" s="45" t="s">
        <v>13</v>
      </c>
      <c r="G26" s="47">
        <v>151</v>
      </c>
      <c r="H26" s="47">
        <v>491.38</v>
      </c>
      <c r="I26" s="47">
        <v>74198.38</v>
      </c>
      <c r="J26" s="47">
        <v>41007.61</v>
      </c>
    </row>
    <row r="27" spans="1:10" ht="15">
      <c r="A27" s="45">
        <v>26</v>
      </c>
      <c r="B27" s="46">
        <v>45371</v>
      </c>
      <c r="C27" s="45" t="s">
        <v>10</v>
      </c>
      <c r="D27" s="45" t="s">
        <v>23</v>
      </c>
      <c r="E27" s="45" t="s">
        <v>24</v>
      </c>
      <c r="F27" s="45" t="s">
        <v>18</v>
      </c>
      <c r="G27" s="47">
        <v>220</v>
      </c>
      <c r="H27" s="47">
        <v>377.06</v>
      </c>
      <c r="I27" s="47">
        <v>82953.2</v>
      </c>
      <c r="J27" s="47">
        <v>45926.75</v>
      </c>
    </row>
    <row r="28" spans="1:10" ht="15">
      <c r="A28" s="45">
        <v>27</v>
      </c>
      <c r="B28" s="46">
        <v>45375</v>
      </c>
      <c r="C28" s="45" t="s">
        <v>16</v>
      </c>
      <c r="D28" s="45" t="s">
        <v>14</v>
      </c>
      <c r="E28" s="45" t="s">
        <v>21</v>
      </c>
      <c r="F28" s="45" t="s">
        <v>15</v>
      </c>
      <c r="G28" s="47">
        <v>81</v>
      </c>
      <c r="H28" s="47">
        <v>551.44000000000005</v>
      </c>
      <c r="I28" s="47">
        <v>44666.64</v>
      </c>
      <c r="J28" s="47">
        <v>19176.91</v>
      </c>
    </row>
    <row r="29" spans="1:10" ht="15">
      <c r="A29" s="45">
        <v>28</v>
      </c>
      <c r="B29" s="46">
        <v>45378</v>
      </c>
      <c r="C29" s="45" t="s">
        <v>19</v>
      </c>
      <c r="D29" s="45" t="s">
        <v>20</v>
      </c>
      <c r="E29" s="45" t="s">
        <v>21</v>
      </c>
      <c r="F29" s="45" t="s">
        <v>13</v>
      </c>
      <c r="G29" s="47">
        <v>71</v>
      </c>
      <c r="H29" s="47">
        <v>627.69000000000005</v>
      </c>
      <c r="I29" s="47">
        <v>44565.99</v>
      </c>
      <c r="J29" s="47">
        <v>30329.62</v>
      </c>
    </row>
    <row r="30" spans="1:10" ht="15">
      <c r="A30" s="45">
        <v>29</v>
      </c>
      <c r="B30" s="46">
        <v>45381</v>
      </c>
      <c r="C30" s="45" t="s">
        <v>10</v>
      </c>
      <c r="D30" s="45" t="s">
        <v>11</v>
      </c>
      <c r="E30" s="45" t="s">
        <v>12</v>
      </c>
      <c r="F30" s="45" t="s">
        <v>15</v>
      </c>
      <c r="G30" s="47">
        <v>182</v>
      </c>
      <c r="H30" s="47">
        <v>189.41</v>
      </c>
      <c r="I30" s="47">
        <v>34472.620000000003</v>
      </c>
      <c r="J30" s="47">
        <v>16953.759999999998</v>
      </c>
    </row>
    <row r="31" spans="1:10" ht="15">
      <c r="A31" s="45">
        <v>30</v>
      </c>
      <c r="B31" s="46">
        <v>45382</v>
      </c>
      <c r="C31" s="45" t="s">
        <v>19</v>
      </c>
      <c r="D31" s="45" t="s">
        <v>23</v>
      </c>
      <c r="E31" s="45" t="s">
        <v>24</v>
      </c>
      <c r="F31" s="45" t="s">
        <v>13</v>
      </c>
      <c r="G31" s="47">
        <v>126</v>
      </c>
      <c r="H31" s="47">
        <v>347.15</v>
      </c>
      <c r="I31" s="47">
        <v>43740.9</v>
      </c>
      <c r="J31" s="47">
        <v>23690.67</v>
      </c>
    </row>
    <row r="32" spans="1:10" ht="15">
      <c r="A32" s="45">
        <v>31</v>
      </c>
      <c r="B32" s="46">
        <v>45388</v>
      </c>
      <c r="C32" s="45" t="s">
        <v>19</v>
      </c>
      <c r="D32" s="45" t="s">
        <v>11</v>
      </c>
      <c r="E32" s="45" t="s">
        <v>12</v>
      </c>
      <c r="F32" s="45" t="s">
        <v>18</v>
      </c>
      <c r="G32" s="47">
        <v>55</v>
      </c>
      <c r="H32" s="47">
        <v>156.18</v>
      </c>
      <c r="I32" s="47">
        <v>8589.9</v>
      </c>
      <c r="J32" s="47">
        <v>3936.39</v>
      </c>
    </row>
    <row r="33" spans="1:10" ht="15">
      <c r="A33" s="45">
        <v>32</v>
      </c>
      <c r="B33" s="46">
        <v>45389</v>
      </c>
      <c r="C33" s="45" t="s">
        <v>19</v>
      </c>
      <c r="D33" s="45" t="s">
        <v>23</v>
      </c>
      <c r="E33" s="45" t="s">
        <v>24</v>
      </c>
      <c r="F33" s="45" t="s">
        <v>18</v>
      </c>
      <c r="G33" s="47">
        <v>104</v>
      </c>
      <c r="H33" s="47">
        <v>321.01</v>
      </c>
      <c r="I33" s="47">
        <v>33385.040000000001</v>
      </c>
      <c r="J33" s="47">
        <v>18550.02</v>
      </c>
    </row>
    <row r="34" spans="1:10" ht="15">
      <c r="A34" s="45">
        <v>33</v>
      </c>
      <c r="B34" s="46">
        <v>45391</v>
      </c>
      <c r="C34" s="45" t="s">
        <v>16</v>
      </c>
      <c r="D34" s="45" t="s">
        <v>14</v>
      </c>
      <c r="E34" s="45" t="s">
        <v>17</v>
      </c>
      <c r="F34" s="45" t="s">
        <v>15</v>
      </c>
      <c r="G34" s="47">
        <v>64</v>
      </c>
      <c r="H34" s="47">
        <v>460.84</v>
      </c>
      <c r="I34" s="47">
        <v>29493.759999999998</v>
      </c>
      <c r="J34" s="47">
        <v>11907.15</v>
      </c>
    </row>
    <row r="35" spans="1:10" ht="15">
      <c r="A35" s="45">
        <v>34</v>
      </c>
      <c r="B35" s="46">
        <v>45396</v>
      </c>
      <c r="C35" s="45" t="s">
        <v>10</v>
      </c>
      <c r="D35" s="45" t="s">
        <v>20</v>
      </c>
      <c r="E35" s="45" t="s">
        <v>17</v>
      </c>
      <c r="F35" s="45" t="s">
        <v>18</v>
      </c>
      <c r="G35" s="47">
        <v>98</v>
      </c>
      <c r="H35" s="47">
        <v>580.29999999999995</v>
      </c>
      <c r="I35" s="47">
        <v>56869.4</v>
      </c>
      <c r="J35" s="47">
        <v>38513.99</v>
      </c>
    </row>
    <row r="36" spans="1:10" ht="15">
      <c r="A36" s="45">
        <v>35</v>
      </c>
      <c r="B36" s="46">
        <v>45398</v>
      </c>
      <c r="C36" s="45" t="s">
        <v>16</v>
      </c>
      <c r="D36" s="45" t="s">
        <v>20</v>
      </c>
      <c r="E36" s="45" t="s">
        <v>24</v>
      </c>
      <c r="F36" s="45" t="s">
        <v>18</v>
      </c>
      <c r="G36" s="47">
        <v>164</v>
      </c>
      <c r="H36" s="47">
        <v>594.85</v>
      </c>
      <c r="I36" s="47">
        <v>97555.4</v>
      </c>
      <c r="J36" s="47">
        <v>66687.839999999997</v>
      </c>
    </row>
    <row r="37" spans="1:10" ht="15">
      <c r="A37" s="45">
        <v>36</v>
      </c>
      <c r="B37" s="46">
        <v>45404</v>
      </c>
      <c r="C37" s="45" t="s">
        <v>10</v>
      </c>
      <c r="D37" s="45" t="s">
        <v>23</v>
      </c>
      <c r="E37" s="45" t="s">
        <v>12</v>
      </c>
      <c r="F37" s="45" t="s">
        <v>15</v>
      </c>
      <c r="G37" s="47">
        <v>213</v>
      </c>
      <c r="H37" s="47">
        <v>303.63</v>
      </c>
      <c r="I37" s="47">
        <v>64673.19</v>
      </c>
      <c r="J37" s="47">
        <v>33646.589999999997</v>
      </c>
    </row>
    <row r="38" spans="1:10" ht="15">
      <c r="A38" s="45">
        <v>37</v>
      </c>
      <c r="B38" s="46">
        <v>45404</v>
      </c>
      <c r="C38" s="45" t="s">
        <v>10</v>
      </c>
      <c r="D38" s="45" t="s">
        <v>23</v>
      </c>
      <c r="E38" s="45" t="s">
        <v>24</v>
      </c>
      <c r="F38" s="45" t="s">
        <v>18</v>
      </c>
      <c r="G38" s="47">
        <v>200</v>
      </c>
      <c r="H38" s="47">
        <v>369.39</v>
      </c>
      <c r="I38" s="47">
        <v>73878</v>
      </c>
      <c r="J38" s="47">
        <v>38713.11</v>
      </c>
    </row>
    <row r="39" spans="1:10" ht="15">
      <c r="A39" s="45">
        <v>38</v>
      </c>
      <c r="B39" s="46">
        <v>45410</v>
      </c>
      <c r="C39" s="45" t="s">
        <v>19</v>
      </c>
      <c r="D39" s="45" t="s">
        <v>14</v>
      </c>
      <c r="E39" s="45" t="s">
        <v>12</v>
      </c>
      <c r="F39" s="45" t="s">
        <v>13</v>
      </c>
      <c r="G39" s="47">
        <v>63</v>
      </c>
      <c r="H39" s="47">
        <v>363.46</v>
      </c>
      <c r="I39" s="47">
        <v>22897.98</v>
      </c>
      <c r="J39" s="47">
        <v>10079.620000000001</v>
      </c>
    </row>
    <row r="40" spans="1:10" ht="15">
      <c r="A40" s="45">
        <v>39</v>
      </c>
      <c r="B40" s="46">
        <v>45413</v>
      </c>
      <c r="C40" s="45" t="s">
        <v>19</v>
      </c>
      <c r="D40" s="45" t="s">
        <v>14</v>
      </c>
      <c r="E40" s="45" t="s">
        <v>12</v>
      </c>
      <c r="F40" s="45" t="s">
        <v>15</v>
      </c>
      <c r="G40" s="47">
        <v>98</v>
      </c>
      <c r="H40" s="47">
        <v>365.37</v>
      </c>
      <c r="I40" s="47">
        <v>35806.26</v>
      </c>
      <c r="J40" s="47">
        <v>15141.07</v>
      </c>
    </row>
    <row r="41" spans="1:10" ht="15">
      <c r="A41" s="45">
        <v>40</v>
      </c>
      <c r="B41" s="46">
        <v>45416</v>
      </c>
      <c r="C41" s="45" t="s">
        <v>10</v>
      </c>
      <c r="D41" s="45" t="s">
        <v>20</v>
      </c>
      <c r="E41" s="45" t="s">
        <v>24</v>
      </c>
      <c r="F41" s="45" t="s">
        <v>18</v>
      </c>
      <c r="G41" s="47">
        <v>151</v>
      </c>
      <c r="H41" s="47">
        <v>624</v>
      </c>
      <c r="I41" s="47">
        <v>94224</v>
      </c>
      <c r="J41" s="47">
        <v>64355.360000000001</v>
      </c>
    </row>
    <row r="42" spans="1:10" ht="15">
      <c r="A42" s="45">
        <v>41</v>
      </c>
      <c r="B42" s="46">
        <v>45416</v>
      </c>
      <c r="C42" s="45" t="s">
        <v>22</v>
      </c>
      <c r="D42" s="45" t="s">
        <v>23</v>
      </c>
      <c r="E42" s="45" t="s">
        <v>24</v>
      </c>
      <c r="F42" s="45" t="s">
        <v>13</v>
      </c>
      <c r="G42" s="47">
        <v>121</v>
      </c>
      <c r="H42" s="47">
        <v>393.44</v>
      </c>
      <c r="I42" s="47">
        <v>47606.239999999998</v>
      </c>
      <c r="J42" s="47">
        <v>26123.34</v>
      </c>
    </row>
    <row r="43" spans="1:10" ht="15">
      <c r="A43" s="45">
        <v>42</v>
      </c>
      <c r="B43" s="46">
        <v>45418</v>
      </c>
      <c r="C43" s="45" t="s">
        <v>10</v>
      </c>
      <c r="D43" s="45" t="s">
        <v>11</v>
      </c>
      <c r="E43" s="45" t="s">
        <v>12</v>
      </c>
      <c r="F43" s="45" t="s">
        <v>13</v>
      </c>
      <c r="G43" s="47">
        <v>186</v>
      </c>
      <c r="H43" s="47">
        <v>180.7</v>
      </c>
      <c r="I43" s="47">
        <v>33610.199999999997</v>
      </c>
      <c r="J43" s="47">
        <v>15391.88</v>
      </c>
    </row>
    <row r="44" spans="1:10" ht="15">
      <c r="A44" s="45">
        <v>43</v>
      </c>
      <c r="B44" s="46">
        <v>45422</v>
      </c>
      <c r="C44" s="45" t="s">
        <v>22</v>
      </c>
      <c r="D44" s="45" t="s">
        <v>23</v>
      </c>
      <c r="E44" s="45" t="s">
        <v>21</v>
      </c>
      <c r="F44" s="45" t="s">
        <v>13</v>
      </c>
      <c r="G44" s="47">
        <v>134</v>
      </c>
      <c r="H44" s="47">
        <v>461.64</v>
      </c>
      <c r="I44" s="47">
        <v>61859.76</v>
      </c>
      <c r="J44" s="47">
        <v>35996.980000000003</v>
      </c>
    </row>
    <row r="45" spans="1:10" ht="15">
      <c r="A45" s="45">
        <v>44</v>
      </c>
      <c r="B45" s="46">
        <v>45427</v>
      </c>
      <c r="C45" s="45" t="s">
        <v>19</v>
      </c>
      <c r="D45" s="45" t="s">
        <v>23</v>
      </c>
      <c r="E45" s="45" t="s">
        <v>17</v>
      </c>
      <c r="F45" s="45" t="s">
        <v>13</v>
      </c>
      <c r="G45" s="47">
        <v>195</v>
      </c>
      <c r="H45" s="47">
        <v>300.58999999999997</v>
      </c>
      <c r="I45" s="47">
        <v>58615.05</v>
      </c>
      <c r="J45" s="47">
        <v>32444.27</v>
      </c>
    </row>
    <row r="46" spans="1:10" ht="15">
      <c r="A46" s="45">
        <v>45</v>
      </c>
      <c r="B46" s="46">
        <v>45429</v>
      </c>
      <c r="C46" s="45" t="s">
        <v>19</v>
      </c>
      <c r="D46" s="45" t="s">
        <v>23</v>
      </c>
      <c r="E46" s="45" t="s">
        <v>21</v>
      </c>
      <c r="F46" s="45" t="s">
        <v>15</v>
      </c>
      <c r="G46" s="47">
        <v>38</v>
      </c>
      <c r="H46" s="47">
        <v>383.79</v>
      </c>
      <c r="I46" s="47">
        <v>14584.02</v>
      </c>
      <c r="J46" s="47">
        <v>7602.16</v>
      </c>
    </row>
    <row r="47" spans="1:10" ht="15">
      <c r="A47" s="45">
        <v>46</v>
      </c>
      <c r="B47" s="46">
        <v>45434</v>
      </c>
      <c r="C47" s="45" t="s">
        <v>19</v>
      </c>
      <c r="D47" s="45" t="s">
        <v>11</v>
      </c>
      <c r="E47" s="45" t="s">
        <v>12</v>
      </c>
      <c r="F47" s="45" t="s">
        <v>15</v>
      </c>
      <c r="G47" s="47">
        <v>99</v>
      </c>
      <c r="H47" s="47">
        <v>164.08</v>
      </c>
      <c r="I47" s="47">
        <v>16243.92</v>
      </c>
      <c r="J47" s="47">
        <v>7621.72</v>
      </c>
    </row>
    <row r="48" spans="1:10" ht="15">
      <c r="A48" s="45">
        <v>47</v>
      </c>
      <c r="B48" s="46">
        <v>45433</v>
      </c>
      <c r="C48" s="45" t="s">
        <v>16</v>
      </c>
      <c r="D48" s="45" t="s">
        <v>23</v>
      </c>
      <c r="E48" s="45" t="s">
        <v>12</v>
      </c>
      <c r="F48" s="45" t="s">
        <v>13</v>
      </c>
      <c r="G48" s="47">
        <v>82</v>
      </c>
      <c r="H48" s="47">
        <v>275.5</v>
      </c>
      <c r="I48" s="47">
        <v>22591</v>
      </c>
      <c r="J48" s="47">
        <v>13077.56</v>
      </c>
    </row>
    <row r="49" spans="1:10" ht="15">
      <c r="A49" s="45">
        <v>48</v>
      </c>
      <c r="B49" s="46">
        <v>45437</v>
      </c>
      <c r="C49" s="45" t="s">
        <v>22</v>
      </c>
      <c r="D49" s="45" t="s">
        <v>23</v>
      </c>
      <c r="E49" s="45" t="s">
        <v>24</v>
      </c>
      <c r="F49" s="45" t="s">
        <v>18</v>
      </c>
      <c r="G49" s="47">
        <v>81</v>
      </c>
      <c r="H49" s="47">
        <v>403.68</v>
      </c>
      <c r="I49" s="47">
        <v>32698.080000000002</v>
      </c>
      <c r="J49" s="47">
        <v>18143.48</v>
      </c>
    </row>
    <row r="50" spans="1:10" ht="15">
      <c r="A50" s="45">
        <v>49</v>
      </c>
      <c r="B50" s="46">
        <v>45443</v>
      </c>
      <c r="C50" s="45" t="s">
        <v>19</v>
      </c>
      <c r="D50" s="45" t="s">
        <v>20</v>
      </c>
      <c r="E50" s="45" t="s">
        <v>12</v>
      </c>
      <c r="F50" s="45" t="s">
        <v>15</v>
      </c>
      <c r="G50" s="47">
        <v>29</v>
      </c>
      <c r="H50" s="47">
        <v>449.53</v>
      </c>
      <c r="I50" s="47">
        <v>13036.37</v>
      </c>
      <c r="J50" s="47">
        <v>8629</v>
      </c>
    </row>
    <row r="51" spans="1:10" ht="15">
      <c r="A51" s="45">
        <v>50</v>
      </c>
      <c r="B51" s="46">
        <v>45442</v>
      </c>
      <c r="C51" s="45" t="s">
        <v>22</v>
      </c>
      <c r="D51" s="45" t="s">
        <v>14</v>
      </c>
      <c r="E51" s="45" t="s">
        <v>12</v>
      </c>
      <c r="F51" s="45" t="s">
        <v>15</v>
      </c>
      <c r="G51" s="47">
        <v>36</v>
      </c>
      <c r="H51" s="47">
        <v>457.47</v>
      </c>
      <c r="I51" s="47">
        <v>16468.919999999998</v>
      </c>
      <c r="J51" s="47">
        <v>6660.96</v>
      </c>
    </row>
    <row r="52" spans="1:10" ht="15">
      <c r="A52" s="45">
        <v>51</v>
      </c>
      <c r="B52" s="46">
        <v>45447</v>
      </c>
      <c r="C52" s="45" t="s">
        <v>16</v>
      </c>
      <c r="D52" s="45" t="s">
        <v>11</v>
      </c>
      <c r="E52" s="45" t="s">
        <v>12</v>
      </c>
      <c r="F52" s="45" t="s">
        <v>15</v>
      </c>
      <c r="G52" s="47">
        <v>156</v>
      </c>
      <c r="H52" s="47">
        <v>164.24</v>
      </c>
      <c r="I52" s="47">
        <v>25621.439999999999</v>
      </c>
      <c r="J52" s="47">
        <v>13054.19</v>
      </c>
    </row>
    <row r="53" spans="1:10" ht="15">
      <c r="A53" s="45">
        <v>52</v>
      </c>
      <c r="B53" s="46">
        <v>45452</v>
      </c>
      <c r="C53" s="45" t="s">
        <v>10</v>
      </c>
      <c r="D53" s="45" t="s">
        <v>14</v>
      </c>
      <c r="E53" s="45" t="s">
        <v>17</v>
      </c>
      <c r="F53" s="45" t="s">
        <v>13</v>
      </c>
      <c r="G53" s="47">
        <v>56</v>
      </c>
      <c r="H53" s="47">
        <v>445.03</v>
      </c>
      <c r="I53" s="47">
        <v>24921.68</v>
      </c>
      <c r="J53" s="47">
        <v>10012.9</v>
      </c>
    </row>
    <row r="54" spans="1:10" ht="15">
      <c r="A54" s="45">
        <v>53</v>
      </c>
      <c r="B54" s="46">
        <v>45453</v>
      </c>
      <c r="C54" s="45" t="s">
        <v>22</v>
      </c>
      <c r="D54" s="45" t="s">
        <v>23</v>
      </c>
      <c r="E54" s="45" t="s">
        <v>21</v>
      </c>
      <c r="F54" s="45" t="s">
        <v>15</v>
      </c>
      <c r="G54" s="47">
        <v>143</v>
      </c>
      <c r="H54" s="47">
        <v>459.79</v>
      </c>
      <c r="I54" s="47">
        <v>65749.97</v>
      </c>
      <c r="J54" s="47">
        <v>35346.129999999997</v>
      </c>
    </row>
    <row r="55" spans="1:10" ht="15">
      <c r="A55" s="45">
        <v>54</v>
      </c>
      <c r="B55" s="46">
        <v>45454</v>
      </c>
      <c r="C55" s="45" t="s">
        <v>22</v>
      </c>
      <c r="D55" s="45" t="s">
        <v>14</v>
      </c>
      <c r="E55" s="45" t="s">
        <v>12</v>
      </c>
      <c r="F55" s="45" t="s">
        <v>13</v>
      </c>
      <c r="G55" s="47">
        <v>202</v>
      </c>
      <c r="H55" s="47">
        <v>436.33</v>
      </c>
      <c r="I55" s="47">
        <v>88138.66</v>
      </c>
      <c r="J55" s="47">
        <v>39977.35</v>
      </c>
    </row>
    <row r="56" spans="1:10" ht="15">
      <c r="A56" s="45">
        <v>55</v>
      </c>
      <c r="B56" s="46">
        <v>45461</v>
      </c>
      <c r="C56" s="45" t="s">
        <v>19</v>
      </c>
      <c r="D56" s="45" t="s">
        <v>23</v>
      </c>
      <c r="E56" s="45" t="s">
        <v>24</v>
      </c>
      <c r="F56" s="45" t="s">
        <v>13</v>
      </c>
      <c r="G56" s="47">
        <v>183</v>
      </c>
      <c r="H56" s="47">
        <v>323.27999999999997</v>
      </c>
      <c r="I56" s="47">
        <v>59160.24</v>
      </c>
      <c r="J56" s="47">
        <v>32425.23</v>
      </c>
    </row>
    <row r="57" spans="1:10" ht="15">
      <c r="A57" s="45">
        <v>56</v>
      </c>
      <c r="B57" s="46">
        <v>45463</v>
      </c>
      <c r="C57" s="45" t="s">
        <v>19</v>
      </c>
      <c r="D57" s="45" t="s">
        <v>20</v>
      </c>
      <c r="E57" s="45" t="s">
        <v>17</v>
      </c>
      <c r="F57" s="45" t="s">
        <v>13</v>
      </c>
      <c r="G57" s="47">
        <v>102</v>
      </c>
      <c r="H57" s="47">
        <v>468.55</v>
      </c>
      <c r="I57" s="47">
        <v>47792.1</v>
      </c>
      <c r="J57" s="47">
        <v>33804.559999999998</v>
      </c>
    </row>
    <row r="58" spans="1:10" ht="15">
      <c r="A58" s="45">
        <v>57</v>
      </c>
      <c r="B58" s="46">
        <v>45464</v>
      </c>
      <c r="C58" s="45" t="s">
        <v>19</v>
      </c>
      <c r="D58" s="45" t="s">
        <v>20</v>
      </c>
      <c r="E58" s="45" t="s">
        <v>12</v>
      </c>
      <c r="F58" s="45" t="s">
        <v>13</v>
      </c>
      <c r="G58" s="47">
        <v>18</v>
      </c>
      <c r="H58" s="47">
        <v>406.42</v>
      </c>
      <c r="I58" s="47">
        <v>7315.56</v>
      </c>
      <c r="J58" s="47">
        <v>5107.42</v>
      </c>
    </row>
    <row r="59" spans="1:10" ht="15">
      <c r="A59" s="45">
        <v>58</v>
      </c>
      <c r="B59" s="46">
        <v>45468</v>
      </c>
      <c r="C59" s="45" t="s">
        <v>19</v>
      </c>
      <c r="D59" s="45" t="s">
        <v>23</v>
      </c>
      <c r="E59" s="45" t="s">
        <v>12</v>
      </c>
      <c r="F59" s="45" t="s">
        <v>13</v>
      </c>
      <c r="G59" s="47">
        <v>185</v>
      </c>
      <c r="H59" s="47">
        <v>268.72000000000003</v>
      </c>
      <c r="I59" s="47">
        <v>49713.2</v>
      </c>
      <c r="J59" s="47">
        <v>28663.88</v>
      </c>
    </row>
    <row r="60" spans="1:10" ht="15">
      <c r="A60" s="45">
        <v>59</v>
      </c>
      <c r="B60" s="46">
        <v>45471</v>
      </c>
      <c r="C60" s="45" t="s">
        <v>10</v>
      </c>
      <c r="D60" s="45" t="s">
        <v>20</v>
      </c>
      <c r="E60" s="45" t="s">
        <v>12</v>
      </c>
      <c r="F60" s="45" t="s">
        <v>15</v>
      </c>
      <c r="G60" s="47">
        <v>62</v>
      </c>
      <c r="H60" s="47">
        <v>472.38</v>
      </c>
      <c r="I60" s="47">
        <v>29287.56</v>
      </c>
      <c r="J60" s="47">
        <v>19885.63</v>
      </c>
    </row>
    <row r="61" spans="1:10" ht="15">
      <c r="A61" s="45">
        <v>60</v>
      </c>
      <c r="B61" s="46">
        <v>45474</v>
      </c>
      <c r="C61" s="45" t="s">
        <v>22</v>
      </c>
      <c r="D61" s="45" t="s">
        <v>20</v>
      </c>
      <c r="E61" s="45" t="s">
        <v>21</v>
      </c>
      <c r="F61" s="45" t="s">
        <v>13</v>
      </c>
      <c r="G61" s="47">
        <v>23</v>
      </c>
      <c r="H61" s="47">
        <v>733.15</v>
      </c>
      <c r="I61" s="47">
        <v>16862.45</v>
      </c>
      <c r="J61" s="47">
        <v>11299.88</v>
      </c>
    </row>
    <row r="62" spans="1:10" ht="15">
      <c r="A62" s="45">
        <v>61</v>
      </c>
      <c r="B62" s="46">
        <v>45477</v>
      </c>
      <c r="C62" s="45" t="s">
        <v>10</v>
      </c>
      <c r="D62" s="45" t="s">
        <v>14</v>
      </c>
      <c r="E62" s="45" t="s">
        <v>21</v>
      </c>
      <c r="F62" s="45" t="s">
        <v>15</v>
      </c>
      <c r="G62" s="47">
        <v>36</v>
      </c>
      <c r="H62" s="47">
        <v>539.04999999999995</v>
      </c>
      <c r="I62" s="47">
        <v>19405.8</v>
      </c>
      <c r="J62" s="47">
        <v>8202.44</v>
      </c>
    </row>
    <row r="63" spans="1:10" ht="15">
      <c r="A63" s="45">
        <v>62</v>
      </c>
      <c r="B63" s="46">
        <v>45479</v>
      </c>
      <c r="C63" s="45" t="s">
        <v>10</v>
      </c>
      <c r="D63" s="45" t="s">
        <v>14</v>
      </c>
      <c r="E63" s="45" t="s">
        <v>12</v>
      </c>
      <c r="F63" s="45" t="s">
        <v>15</v>
      </c>
      <c r="G63" s="47">
        <v>37</v>
      </c>
      <c r="H63" s="47">
        <v>370.38</v>
      </c>
      <c r="I63" s="47">
        <v>13704.06</v>
      </c>
      <c r="J63" s="47">
        <v>5867.28</v>
      </c>
    </row>
    <row r="64" spans="1:10" ht="15">
      <c r="A64" s="45">
        <v>63</v>
      </c>
      <c r="B64" s="46">
        <v>45484</v>
      </c>
      <c r="C64" s="45" t="s">
        <v>16</v>
      </c>
      <c r="D64" s="45" t="s">
        <v>20</v>
      </c>
      <c r="E64" s="45" t="s">
        <v>21</v>
      </c>
      <c r="F64" s="45" t="s">
        <v>18</v>
      </c>
      <c r="G64" s="47">
        <v>74</v>
      </c>
      <c r="H64" s="47">
        <v>592.15</v>
      </c>
      <c r="I64" s="47">
        <v>43819.1</v>
      </c>
      <c r="J64" s="47">
        <v>31210</v>
      </c>
    </row>
    <row r="65" spans="1:10" ht="15">
      <c r="A65" s="45">
        <v>64</v>
      </c>
      <c r="B65" s="46">
        <v>45485</v>
      </c>
      <c r="C65" s="45" t="s">
        <v>19</v>
      </c>
      <c r="D65" s="45" t="s">
        <v>20</v>
      </c>
      <c r="E65" s="45" t="s">
        <v>24</v>
      </c>
      <c r="F65" s="45" t="s">
        <v>13</v>
      </c>
      <c r="G65" s="47">
        <v>87</v>
      </c>
      <c r="H65" s="47">
        <v>500.51</v>
      </c>
      <c r="I65" s="47">
        <v>43544.37</v>
      </c>
      <c r="J65" s="47">
        <v>30124.400000000001</v>
      </c>
    </row>
    <row r="66" spans="1:10" ht="15">
      <c r="A66" s="45">
        <v>65</v>
      </c>
      <c r="B66" s="46">
        <v>45487</v>
      </c>
      <c r="C66" s="45" t="s">
        <v>19</v>
      </c>
      <c r="D66" s="45" t="s">
        <v>23</v>
      </c>
      <c r="E66" s="45" t="s">
        <v>12</v>
      </c>
      <c r="F66" s="45" t="s">
        <v>18</v>
      </c>
      <c r="G66" s="47">
        <v>164</v>
      </c>
      <c r="H66" s="47">
        <v>256.89999999999998</v>
      </c>
      <c r="I66" s="47">
        <v>42131.6</v>
      </c>
      <c r="J66" s="47">
        <v>23856.05</v>
      </c>
    </row>
    <row r="67" spans="1:10" ht="15">
      <c r="A67" s="45">
        <v>66</v>
      </c>
      <c r="B67" s="46">
        <v>45491</v>
      </c>
      <c r="C67" s="45" t="s">
        <v>16</v>
      </c>
      <c r="D67" s="45" t="s">
        <v>14</v>
      </c>
      <c r="E67" s="45" t="s">
        <v>12</v>
      </c>
      <c r="F67" s="45" t="s">
        <v>13</v>
      </c>
      <c r="G67" s="47">
        <v>178</v>
      </c>
      <c r="H67" s="47">
        <v>349.8</v>
      </c>
      <c r="I67" s="47">
        <v>62264.4</v>
      </c>
      <c r="J67" s="47">
        <v>24707.73</v>
      </c>
    </row>
    <row r="68" spans="1:10" ht="15">
      <c r="A68" s="45">
        <v>67</v>
      </c>
      <c r="B68" s="46">
        <v>45496</v>
      </c>
      <c r="C68" s="45" t="s">
        <v>16</v>
      </c>
      <c r="D68" s="45" t="s">
        <v>14</v>
      </c>
      <c r="E68" s="45" t="s">
        <v>17</v>
      </c>
      <c r="F68" s="45" t="s">
        <v>15</v>
      </c>
      <c r="G68" s="47">
        <v>82</v>
      </c>
      <c r="H68" s="47">
        <v>385.32</v>
      </c>
      <c r="I68" s="47">
        <v>31596.240000000002</v>
      </c>
      <c r="J68" s="47">
        <v>13960.81</v>
      </c>
    </row>
    <row r="69" spans="1:10" ht="15">
      <c r="A69" s="45">
        <v>68</v>
      </c>
      <c r="B69" s="46">
        <v>45500</v>
      </c>
      <c r="C69" s="45" t="s">
        <v>16</v>
      </c>
      <c r="D69" s="45" t="s">
        <v>14</v>
      </c>
      <c r="E69" s="45" t="s">
        <v>24</v>
      </c>
      <c r="F69" s="45" t="s">
        <v>15</v>
      </c>
      <c r="G69" s="47">
        <v>34</v>
      </c>
      <c r="H69" s="47">
        <v>443.88</v>
      </c>
      <c r="I69" s="47">
        <v>15091.92</v>
      </c>
      <c r="J69" s="47">
        <v>6116.17</v>
      </c>
    </row>
    <row r="70" spans="1:10" ht="15">
      <c r="A70" s="45">
        <v>69</v>
      </c>
      <c r="B70" s="46">
        <v>45500</v>
      </c>
      <c r="C70" s="45" t="s">
        <v>10</v>
      </c>
      <c r="D70" s="45" t="s">
        <v>11</v>
      </c>
      <c r="E70" s="45" t="s">
        <v>24</v>
      </c>
      <c r="F70" s="45" t="s">
        <v>15</v>
      </c>
      <c r="G70" s="47">
        <v>34</v>
      </c>
      <c r="H70" s="47">
        <v>210.03</v>
      </c>
      <c r="I70" s="47">
        <v>7141.02</v>
      </c>
      <c r="J70" s="47">
        <v>3530.81</v>
      </c>
    </row>
    <row r="71" spans="1:10" ht="15">
      <c r="A71" s="45">
        <v>70</v>
      </c>
      <c r="B71" s="46">
        <v>45502</v>
      </c>
      <c r="C71" s="45" t="s">
        <v>10</v>
      </c>
      <c r="D71" s="45" t="s">
        <v>14</v>
      </c>
      <c r="E71" s="45" t="s">
        <v>17</v>
      </c>
      <c r="F71" s="45" t="s">
        <v>15</v>
      </c>
      <c r="G71" s="47">
        <v>80</v>
      </c>
      <c r="H71" s="47">
        <v>440.91</v>
      </c>
      <c r="I71" s="47">
        <v>35272.800000000003</v>
      </c>
      <c r="J71" s="47">
        <v>15345</v>
      </c>
    </row>
    <row r="72" spans="1:10" ht="15">
      <c r="A72" s="45">
        <v>71</v>
      </c>
      <c r="B72" s="46">
        <v>45509</v>
      </c>
      <c r="C72" s="45" t="s">
        <v>10</v>
      </c>
      <c r="D72" s="45" t="s">
        <v>14</v>
      </c>
      <c r="E72" s="45" t="s">
        <v>24</v>
      </c>
      <c r="F72" s="45" t="s">
        <v>13</v>
      </c>
      <c r="G72" s="47">
        <v>139</v>
      </c>
      <c r="H72" s="47">
        <v>443.4</v>
      </c>
      <c r="I72" s="47">
        <v>61632.6</v>
      </c>
      <c r="J72" s="47">
        <v>26728.83</v>
      </c>
    </row>
    <row r="73" spans="1:10" ht="15">
      <c r="A73" s="45">
        <v>72</v>
      </c>
      <c r="B73" s="46">
        <v>45509</v>
      </c>
      <c r="C73" s="45" t="s">
        <v>19</v>
      </c>
      <c r="D73" s="45" t="s">
        <v>20</v>
      </c>
      <c r="E73" s="45" t="s">
        <v>21</v>
      </c>
      <c r="F73" s="45" t="s">
        <v>15</v>
      </c>
      <c r="G73" s="47">
        <v>134</v>
      </c>
      <c r="H73" s="47">
        <v>552.05999999999995</v>
      </c>
      <c r="I73" s="47">
        <v>73976.039999999994</v>
      </c>
      <c r="J73" s="47">
        <v>48654.239999999998</v>
      </c>
    </row>
    <row r="74" spans="1:10" ht="15">
      <c r="A74" s="45">
        <v>73</v>
      </c>
      <c r="B74" s="46">
        <v>45515</v>
      </c>
      <c r="C74" s="45" t="s">
        <v>10</v>
      </c>
      <c r="D74" s="45" t="s">
        <v>20</v>
      </c>
      <c r="E74" s="45" t="s">
        <v>12</v>
      </c>
      <c r="F74" s="45" t="s">
        <v>15</v>
      </c>
      <c r="G74" s="47">
        <v>19</v>
      </c>
      <c r="H74" s="47">
        <v>443.55</v>
      </c>
      <c r="I74" s="47">
        <v>8427.4500000000007</v>
      </c>
      <c r="J74" s="47">
        <v>5519.73</v>
      </c>
    </row>
    <row r="75" spans="1:10" ht="15">
      <c r="A75" s="45">
        <v>74</v>
      </c>
      <c r="B75" s="46">
        <v>45518</v>
      </c>
      <c r="C75" s="45" t="s">
        <v>19</v>
      </c>
      <c r="D75" s="45" t="s">
        <v>20</v>
      </c>
      <c r="E75" s="45" t="s">
        <v>24</v>
      </c>
      <c r="F75" s="45" t="s">
        <v>13</v>
      </c>
      <c r="G75" s="47">
        <v>68</v>
      </c>
      <c r="H75" s="47">
        <v>462.11</v>
      </c>
      <c r="I75" s="47">
        <v>31423.48</v>
      </c>
      <c r="J75" s="47">
        <v>20609.71</v>
      </c>
    </row>
    <row r="76" spans="1:10" ht="15">
      <c r="A76" s="45">
        <v>75</v>
      </c>
      <c r="B76" s="46">
        <v>45521</v>
      </c>
      <c r="C76" s="45" t="s">
        <v>22</v>
      </c>
      <c r="D76" s="45" t="s">
        <v>20</v>
      </c>
      <c r="E76" s="45" t="s">
        <v>17</v>
      </c>
      <c r="F76" s="45" t="s">
        <v>18</v>
      </c>
      <c r="G76" s="47">
        <v>176</v>
      </c>
      <c r="H76" s="47">
        <v>560.41999999999996</v>
      </c>
      <c r="I76" s="47">
        <v>98633.919999999998</v>
      </c>
      <c r="J76" s="47">
        <v>69797.899999999994</v>
      </c>
    </row>
    <row r="77" spans="1:10" ht="15">
      <c r="A77" s="45">
        <v>76</v>
      </c>
      <c r="B77" s="46">
        <v>45522</v>
      </c>
      <c r="C77" s="45" t="s">
        <v>10</v>
      </c>
      <c r="D77" s="45" t="s">
        <v>11</v>
      </c>
      <c r="E77" s="45" t="s">
        <v>24</v>
      </c>
      <c r="F77" s="45" t="s">
        <v>15</v>
      </c>
      <c r="G77" s="47">
        <v>21</v>
      </c>
      <c r="H77" s="47">
        <v>192.08</v>
      </c>
      <c r="I77" s="47">
        <v>4033.68</v>
      </c>
      <c r="J77" s="47">
        <v>2064.23</v>
      </c>
    </row>
    <row r="78" spans="1:10" ht="15">
      <c r="A78" s="45">
        <v>77</v>
      </c>
      <c r="B78" s="46">
        <v>45526</v>
      </c>
      <c r="C78" s="45" t="s">
        <v>19</v>
      </c>
      <c r="D78" s="45" t="s">
        <v>20</v>
      </c>
      <c r="E78" s="45" t="s">
        <v>17</v>
      </c>
      <c r="F78" s="45" t="s">
        <v>15</v>
      </c>
      <c r="G78" s="47">
        <v>103</v>
      </c>
      <c r="H78" s="47">
        <v>441.73</v>
      </c>
      <c r="I78" s="47">
        <v>45498.19</v>
      </c>
      <c r="J78" s="47">
        <v>29931.4</v>
      </c>
    </row>
    <row r="79" spans="1:10" ht="15">
      <c r="A79" s="45">
        <v>78</v>
      </c>
      <c r="B79" s="46">
        <v>45528</v>
      </c>
      <c r="C79" s="45" t="s">
        <v>16</v>
      </c>
      <c r="D79" s="45" t="s">
        <v>20</v>
      </c>
      <c r="E79" s="45" t="s">
        <v>21</v>
      </c>
      <c r="F79" s="45" t="s">
        <v>15</v>
      </c>
      <c r="G79" s="47">
        <v>45</v>
      </c>
      <c r="H79" s="47">
        <v>604.41999999999996</v>
      </c>
      <c r="I79" s="47">
        <v>27198.9</v>
      </c>
      <c r="J79" s="47">
        <v>18025.34</v>
      </c>
    </row>
    <row r="80" spans="1:10" ht="15">
      <c r="A80" s="45">
        <v>79</v>
      </c>
      <c r="B80" s="46">
        <v>45529</v>
      </c>
      <c r="C80" s="45" t="s">
        <v>22</v>
      </c>
      <c r="D80" s="45" t="s">
        <v>20</v>
      </c>
      <c r="E80" s="45" t="s">
        <v>21</v>
      </c>
      <c r="F80" s="45" t="s">
        <v>13</v>
      </c>
      <c r="G80" s="47">
        <v>115</v>
      </c>
      <c r="H80" s="47">
        <v>690.58</v>
      </c>
      <c r="I80" s="47">
        <v>79416.7</v>
      </c>
      <c r="J80" s="47">
        <v>56111.72</v>
      </c>
    </row>
    <row r="81" spans="1:10" ht="15">
      <c r="A81" s="45">
        <v>80</v>
      </c>
      <c r="B81" s="46">
        <v>45532</v>
      </c>
      <c r="C81" s="45" t="s">
        <v>22</v>
      </c>
      <c r="D81" s="45" t="s">
        <v>11</v>
      </c>
      <c r="E81" s="45" t="s">
        <v>21</v>
      </c>
      <c r="F81" s="45" t="s">
        <v>13</v>
      </c>
      <c r="G81" s="47">
        <v>86</v>
      </c>
      <c r="H81" s="47">
        <v>244.41</v>
      </c>
      <c r="I81" s="47">
        <v>21019.26</v>
      </c>
      <c r="J81" s="47">
        <v>10599.04</v>
      </c>
    </row>
    <row r="82" spans="1:10" ht="15">
      <c r="A82" s="45">
        <v>81</v>
      </c>
      <c r="B82" s="46">
        <v>45537</v>
      </c>
      <c r="C82" s="45" t="s">
        <v>10</v>
      </c>
      <c r="D82" s="45" t="s">
        <v>23</v>
      </c>
      <c r="E82" s="45" t="s">
        <v>21</v>
      </c>
      <c r="F82" s="45" t="s">
        <v>15</v>
      </c>
      <c r="G82" s="47">
        <v>145</v>
      </c>
      <c r="H82" s="47">
        <v>375.3</v>
      </c>
      <c r="I82" s="47">
        <v>54418.5</v>
      </c>
      <c r="J82" s="47">
        <v>31032.53</v>
      </c>
    </row>
    <row r="83" spans="1:10" ht="15">
      <c r="A83" s="45">
        <v>82</v>
      </c>
      <c r="B83" s="46">
        <v>45541</v>
      </c>
      <c r="C83" s="45" t="s">
        <v>16</v>
      </c>
      <c r="D83" s="45" t="s">
        <v>11</v>
      </c>
      <c r="E83" s="45" t="s">
        <v>17</v>
      </c>
      <c r="F83" s="45" t="s">
        <v>18</v>
      </c>
      <c r="G83" s="47">
        <v>35</v>
      </c>
      <c r="H83" s="47">
        <v>158.58000000000001</v>
      </c>
      <c r="I83" s="47">
        <v>5550.3</v>
      </c>
      <c r="J83" s="47">
        <v>2761.85</v>
      </c>
    </row>
    <row r="84" spans="1:10" ht="15">
      <c r="A84" s="45">
        <v>83</v>
      </c>
      <c r="B84" s="46">
        <v>45544</v>
      </c>
      <c r="C84" s="45" t="s">
        <v>10</v>
      </c>
      <c r="D84" s="45" t="s">
        <v>20</v>
      </c>
      <c r="E84" s="45" t="s">
        <v>24</v>
      </c>
      <c r="F84" s="45" t="s">
        <v>13</v>
      </c>
      <c r="G84" s="47">
        <v>155</v>
      </c>
      <c r="H84" s="47">
        <v>528.79</v>
      </c>
      <c r="I84" s="47">
        <v>81962.45</v>
      </c>
      <c r="J84" s="47">
        <v>55791.18</v>
      </c>
    </row>
    <row r="85" spans="1:10" ht="15">
      <c r="A85" s="45">
        <v>84</v>
      </c>
      <c r="B85" s="46">
        <v>45546</v>
      </c>
      <c r="C85" s="45" t="s">
        <v>22</v>
      </c>
      <c r="D85" s="45" t="s">
        <v>20</v>
      </c>
      <c r="E85" s="45" t="s">
        <v>21</v>
      </c>
      <c r="F85" s="45" t="s">
        <v>18</v>
      </c>
      <c r="G85" s="47">
        <v>204</v>
      </c>
      <c r="H85" s="47">
        <v>703.68</v>
      </c>
      <c r="I85" s="47">
        <v>143550.72</v>
      </c>
      <c r="J85" s="47">
        <v>95735.55</v>
      </c>
    </row>
    <row r="86" spans="1:10" ht="15">
      <c r="A86" s="45">
        <v>85</v>
      </c>
      <c r="B86" s="46">
        <v>45548</v>
      </c>
      <c r="C86" s="45" t="s">
        <v>22</v>
      </c>
      <c r="D86" s="45" t="s">
        <v>11</v>
      </c>
      <c r="E86" s="45" t="s">
        <v>24</v>
      </c>
      <c r="F86" s="45" t="s">
        <v>13</v>
      </c>
      <c r="G86" s="47">
        <v>57</v>
      </c>
      <c r="H86" s="47">
        <v>225.86</v>
      </c>
      <c r="I86" s="47">
        <v>12874.02</v>
      </c>
      <c r="J86" s="47">
        <v>5856.21</v>
      </c>
    </row>
    <row r="87" spans="1:10" ht="15">
      <c r="A87" s="45">
        <v>86</v>
      </c>
      <c r="B87" s="46">
        <v>45554</v>
      </c>
      <c r="C87" s="45" t="s">
        <v>19</v>
      </c>
      <c r="D87" s="45" t="s">
        <v>23</v>
      </c>
      <c r="E87" s="45" t="s">
        <v>24</v>
      </c>
      <c r="F87" s="45" t="s">
        <v>15</v>
      </c>
      <c r="G87" s="47">
        <v>209</v>
      </c>
      <c r="H87" s="47">
        <v>285.05</v>
      </c>
      <c r="I87" s="47">
        <v>59575.45</v>
      </c>
      <c r="J87" s="47">
        <v>31519.81</v>
      </c>
    </row>
    <row r="88" spans="1:10" ht="15">
      <c r="A88" s="45">
        <v>87</v>
      </c>
      <c r="B88" s="46">
        <v>45554</v>
      </c>
      <c r="C88" s="45" t="s">
        <v>10</v>
      </c>
      <c r="D88" s="45" t="s">
        <v>14</v>
      </c>
      <c r="E88" s="45" t="s">
        <v>17</v>
      </c>
      <c r="F88" s="45" t="s">
        <v>15</v>
      </c>
      <c r="G88" s="47">
        <v>157</v>
      </c>
      <c r="H88" s="47">
        <v>402.59</v>
      </c>
      <c r="I88" s="47">
        <v>63206.63</v>
      </c>
      <c r="J88" s="47">
        <v>25633.02</v>
      </c>
    </row>
    <row r="89" spans="1:10" ht="15">
      <c r="A89" s="45">
        <v>88</v>
      </c>
      <c r="B89" s="46">
        <v>45558</v>
      </c>
      <c r="C89" s="45" t="s">
        <v>10</v>
      </c>
      <c r="D89" s="45" t="s">
        <v>14</v>
      </c>
      <c r="E89" s="45" t="s">
        <v>24</v>
      </c>
      <c r="F89" s="45" t="s">
        <v>15</v>
      </c>
      <c r="G89" s="47">
        <v>120</v>
      </c>
      <c r="H89" s="47">
        <v>455.37</v>
      </c>
      <c r="I89" s="47">
        <v>54644.4</v>
      </c>
      <c r="J89" s="47">
        <v>22057.23</v>
      </c>
    </row>
    <row r="90" spans="1:10" ht="15">
      <c r="A90" s="45">
        <v>89</v>
      </c>
      <c r="B90" s="46">
        <v>45561</v>
      </c>
      <c r="C90" s="45" t="s">
        <v>22</v>
      </c>
      <c r="D90" s="45" t="s">
        <v>14</v>
      </c>
      <c r="E90" s="45" t="s">
        <v>24</v>
      </c>
      <c r="F90" s="45" t="s">
        <v>15</v>
      </c>
      <c r="G90" s="47">
        <v>162</v>
      </c>
      <c r="H90" s="47">
        <v>504.71</v>
      </c>
      <c r="I90" s="47">
        <v>81763.02</v>
      </c>
      <c r="J90" s="47">
        <v>32556.55</v>
      </c>
    </row>
    <row r="91" spans="1:10" ht="15">
      <c r="A91" s="45">
        <v>90</v>
      </c>
      <c r="B91" s="46">
        <v>45566</v>
      </c>
      <c r="C91" s="45" t="s">
        <v>10</v>
      </c>
      <c r="D91" s="45" t="s">
        <v>14</v>
      </c>
      <c r="E91" s="45" t="s">
        <v>21</v>
      </c>
      <c r="F91" s="45" t="s">
        <v>13</v>
      </c>
      <c r="G91" s="47">
        <v>113</v>
      </c>
      <c r="H91" s="47">
        <v>519.89</v>
      </c>
      <c r="I91" s="47">
        <v>58747.57</v>
      </c>
      <c r="J91" s="47">
        <v>24614.1</v>
      </c>
    </row>
    <row r="92" spans="1:10" ht="15">
      <c r="A92" s="45">
        <v>91</v>
      </c>
      <c r="B92" s="46">
        <v>45567</v>
      </c>
      <c r="C92" s="45" t="s">
        <v>16</v>
      </c>
      <c r="D92" s="45" t="s">
        <v>23</v>
      </c>
      <c r="E92" s="45" t="s">
        <v>12</v>
      </c>
      <c r="F92" s="45" t="s">
        <v>15</v>
      </c>
      <c r="G92" s="47">
        <v>196</v>
      </c>
      <c r="H92" s="47">
        <v>263.39</v>
      </c>
      <c r="I92" s="47">
        <v>51624.44</v>
      </c>
      <c r="J92" s="47">
        <v>29543.439999999999</v>
      </c>
    </row>
    <row r="93" spans="1:10" ht="15">
      <c r="A93" s="45">
        <v>92</v>
      </c>
      <c r="B93" s="46">
        <v>45572</v>
      </c>
      <c r="C93" s="45" t="s">
        <v>19</v>
      </c>
      <c r="D93" s="45" t="s">
        <v>14</v>
      </c>
      <c r="E93" s="45" t="s">
        <v>12</v>
      </c>
      <c r="F93" s="45" t="s">
        <v>15</v>
      </c>
      <c r="G93" s="47">
        <v>150</v>
      </c>
      <c r="H93" s="47">
        <v>336.15</v>
      </c>
      <c r="I93" s="47">
        <v>50422.5</v>
      </c>
      <c r="J93" s="47">
        <v>22851.26</v>
      </c>
    </row>
    <row r="94" spans="1:10" ht="15">
      <c r="A94" s="45">
        <v>93</v>
      </c>
      <c r="B94" s="46">
        <v>45572</v>
      </c>
      <c r="C94" s="45" t="s">
        <v>16</v>
      </c>
      <c r="D94" s="45" t="s">
        <v>23</v>
      </c>
      <c r="E94" s="45" t="s">
        <v>17</v>
      </c>
      <c r="F94" s="45" t="s">
        <v>13</v>
      </c>
      <c r="G94" s="47">
        <v>148</v>
      </c>
      <c r="H94" s="47">
        <v>305.51</v>
      </c>
      <c r="I94" s="47">
        <v>45215.48</v>
      </c>
      <c r="J94" s="47">
        <v>23832.080000000002</v>
      </c>
    </row>
    <row r="95" spans="1:10" ht="15">
      <c r="A95" s="45">
        <v>94</v>
      </c>
      <c r="B95" s="46">
        <v>45577</v>
      </c>
      <c r="C95" s="45" t="s">
        <v>16</v>
      </c>
      <c r="D95" s="45" t="s">
        <v>14</v>
      </c>
      <c r="E95" s="45" t="s">
        <v>12</v>
      </c>
      <c r="F95" s="45" t="s">
        <v>13</v>
      </c>
      <c r="G95" s="47">
        <v>74</v>
      </c>
      <c r="H95" s="47">
        <v>346.49</v>
      </c>
      <c r="I95" s="47">
        <v>25640.26</v>
      </c>
      <c r="J95" s="47">
        <v>10062.35</v>
      </c>
    </row>
    <row r="96" spans="1:10" ht="15">
      <c r="A96" s="45">
        <v>95</v>
      </c>
      <c r="B96" s="46">
        <v>45579</v>
      </c>
      <c r="C96" s="45" t="s">
        <v>10</v>
      </c>
      <c r="D96" s="45" t="s">
        <v>20</v>
      </c>
      <c r="E96" s="45" t="s">
        <v>24</v>
      </c>
      <c r="F96" s="45" t="s">
        <v>18</v>
      </c>
      <c r="G96" s="47">
        <v>210</v>
      </c>
      <c r="H96" s="47">
        <v>534.55999999999995</v>
      </c>
      <c r="I96" s="47">
        <v>112257.60000000001</v>
      </c>
      <c r="J96" s="47">
        <v>73480.78</v>
      </c>
    </row>
    <row r="97" spans="1:10" ht="15">
      <c r="A97" s="45">
        <v>96</v>
      </c>
      <c r="B97" s="46">
        <v>45584</v>
      </c>
      <c r="C97" s="45" t="s">
        <v>10</v>
      </c>
      <c r="D97" s="45" t="s">
        <v>11</v>
      </c>
      <c r="E97" s="45" t="s">
        <v>21</v>
      </c>
      <c r="F97" s="45" t="s">
        <v>13</v>
      </c>
      <c r="G97" s="47">
        <v>217</v>
      </c>
      <c r="H97" s="47">
        <v>240.46</v>
      </c>
      <c r="I97" s="47">
        <v>52179.82</v>
      </c>
      <c r="J97" s="47">
        <v>23516.400000000001</v>
      </c>
    </row>
    <row r="98" spans="1:10" ht="15">
      <c r="A98" s="45">
        <v>97</v>
      </c>
      <c r="B98" s="46">
        <v>45585</v>
      </c>
      <c r="C98" s="45" t="s">
        <v>19</v>
      </c>
      <c r="D98" s="45" t="s">
        <v>20</v>
      </c>
      <c r="E98" s="45" t="s">
        <v>21</v>
      </c>
      <c r="F98" s="45" t="s">
        <v>18</v>
      </c>
      <c r="G98" s="47">
        <v>77</v>
      </c>
      <c r="H98" s="47">
        <v>552.38</v>
      </c>
      <c r="I98" s="47">
        <v>42533.26</v>
      </c>
      <c r="J98" s="47">
        <v>28295.67</v>
      </c>
    </row>
    <row r="99" spans="1:10" ht="15">
      <c r="A99" s="45">
        <v>98</v>
      </c>
      <c r="B99" s="46">
        <v>45587</v>
      </c>
      <c r="C99" s="45" t="s">
        <v>16</v>
      </c>
      <c r="D99" s="45" t="s">
        <v>11</v>
      </c>
      <c r="E99" s="45" t="s">
        <v>21</v>
      </c>
      <c r="F99" s="45" t="s">
        <v>13</v>
      </c>
      <c r="G99" s="47">
        <v>20</v>
      </c>
      <c r="H99" s="47">
        <v>208.27</v>
      </c>
      <c r="I99" s="47">
        <v>4165.3999999999996</v>
      </c>
      <c r="J99" s="47">
        <v>2114</v>
      </c>
    </row>
    <row r="100" spans="1:10" ht="15">
      <c r="A100" s="45">
        <v>99</v>
      </c>
      <c r="B100" s="46">
        <v>45592</v>
      </c>
      <c r="C100" s="45" t="s">
        <v>16</v>
      </c>
      <c r="D100" s="45" t="s">
        <v>20</v>
      </c>
      <c r="E100" s="45" t="s">
        <v>17</v>
      </c>
      <c r="F100" s="45" t="s">
        <v>18</v>
      </c>
      <c r="G100" s="47">
        <v>123</v>
      </c>
      <c r="H100" s="47">
        <v>489.97</v>
      </c>
      <c r="I100" s="47">
        <v>60266.31</v>
      </c>
      <c r="J100" s="47">
        <v>40061.49</v>
      </c>
    </row>
    <row r="101" spans="1:10" ht="15">
      <c r="A101" s="45">
        <v>100</v>
      </c>
      <c r="B101" s="46">
        <v>45592</v>
      </c>
      <c r="C101" s="45" t="s">
        <v>22</v>
      </c>
      <c r="D101" s="45" t="s">
        <v>11</v>
      </c>
      <c r="E101" s="45" t="s">
        <v>21</v>
      </c>
      <c r="F101" s="45" t="s">
        <v>18</v>
      </c>
      <c r="G101" s="47">
        <v>116</v>
      </c>
      <c r="H101" s="47">
        <v>247.88</v>
      </c>
      <c r="I101" s="47">
        <v>28754.080000000002</v>
      </c>
      <c r="J101" s="47">
        <v>14429.06</v>
      </c>
    </row>
    <row r="102" spans="1:10" ht="15">
      <c r="A102" s="45">
        <v>101</v>
      </c>
      <c r="B102" s="46">
        <v>45599</v>
      </c>
      <c r="C102" s="45" t="s">
        <v>16</v>
      </c>
      <c r="D102" s="45" t="s">
        <v>23</v>
      </c>
      <c r="E102" s="45" t="s">
        <v>24</v>
      </c>
      <c r="F102" s="45" t="s">
        <v>13</v>
      </c>
      <c r="G102" s="47">
        <v>94</v>
      </c>
      <c r="H102" s="47">
        <v>328</v>
      </c>
      <c r="I102" s="47">
        <v>30832</v>
      </c>
      <c r="J102" s="47">
        <v>16421.3</v>
      </c>
    </row>
    <row r="103" spans="1:10" ht="15">
      <c r="A103" s="45">
        <v>102</v>
      </c>
      <c r="B103" s="46">
        <v>45601</v>
      </c>
      <c r="C103" s="45" t="s">
        <v>10</v>
      </c>
      <c r="D103" s="45" t="s">
        <v>20</v>
      </c>
      <c r="E103" s="45" t="s">
        <v>21</v>
      </c>
      <c r="F103" s="45" t="s">
        <v>13</v>
      </c>
      <c r="G103" s="47">
        <v>174</v>
      </c>
      <c r="H103" s="47">
        <v>655.52</v>
      </c>
      <c r="I103" s="47">
        <v>114060.48</v>
      </c>
      <c r="J103" s="47">
        <v>75528.039999999994</v>
      </c>
    </row>
    <row r="104" spans="1:10" ht="15">
      <c r="A104" s="45">
        <v>103</v>
      </c>
      <c r="B104" s="46">
        <v>45602</v>
      </c>
      <c r="C104" s="45" t="s">
        <v>19</v>
      </c>
      <c r="D104" s="45" t="s">
        <v>11</v>
      </c>
      <c r="E104" s="45" t="s">
        <v>12</v>
      </c>
      <c r="F104" s="45" t="s">
        <v>18</v>
      </c>
      <c r="G104" s="47">
        <v>52</v>
      </c>
      <c r="H104" s="47">
        <v>166.07</v>
      </c>
      <c r="I104" s="47">
        <v>8635.64</v>
      </c>
      <c r="J104" s="47">
        <v>3916.55</v>
      </c>
    </row>
    <row r="105" spans="1:10" ht="15">
      <c r="A105" s="45">
        <v>104</v>
      </c>
      <c r="B105" s="46">
        <v>45604</v>
      </c>
      <c r="C105" s="45" t="s">
        <v>10</v>
      </c>
      <c r="D105" s="45" t="s">
        <v>11</v>
      </c>
      <c r="E105" s="45" t="s">
        <v>12</v>
      </c>
      <c r="F105" s="45" t="s">
        <v>18</v>
      </c>
      <c r="G105" s="47">
        <v>30</v>
      </c>
      <c r="H105" s="47">
        <v>161.97999999999999</v>
      </c>
      <c r="I105" s="47">
        <v>4859.3999999999996</v>
      </c>
      <c r="J105" s="47">
        <v>2328.75</v>
      </c>
    </row>
    <row r="106" spans="1:10" ht="15">
      <c r="A106" s="45">
        <v>105</v>
      </c>
      <c r="B106" s="46">
        <v>45609</v>
      </c>
      <c r="C106" s="45" t="s">
        <v>16</v>
      </c>
      <c r="D106" s="45" t="s">
        <v>14</v>
      </c>
      <c r="E106" s="45" t="s">
        <v>17</v>
      </c>
      <c r="F106" s="45" t="s">
        <v>15</v>
      </c>
      <c r="G106" s="47">
        <v>63</v>
      </c>
      <c r="H106" s="47">
        <v>391.88</v>
      </c>
      <c r="I106" s="47">
        <v>24688.44</v>
      </c>
      <c r="J106" s="47">
        <v>11130.35</v>
      </c>
    </row>
    <row r="107" spans="1:10" ht="15">
      <c r="A107" s="45">
        <v>106</v>
      </c>
      <c r="B107" s="46">
        <v>45613</v>
      </c>
      <c r="C107" s="45" t="s">
        <v>16</v>
      </c>
      <c r="D107" s="45" t="s">
        <v>20</v>
      </c>
      <c r="E107" s="45" t="s">
        <v>24</v>
      </c>
      <c r="F107" s="45" t="s">
        <v>15</v>
      </c>
      <c r="G107" s="47">
        <v>99</v>
      </c>
      <c r="H107" s="47">
        <v>521.79999999999995</v>
      </c>
      <c r="I107" s="47">
        <v>51658.2</v>
      </c>
      <c r="J107" s="47">
        <v>33943.69</v>
      </c>
    </row>
    <row r="108" spans="1:10" ht="15">
      <c r="A108" s="45">
        <v>107</v>
      </c>
      <c r="B108" s="46">
        <v>45613</v>
      </c>
      <c r="C108" s="45" t="s">
        <v>22</v>
      </c>
      <c r="D108" s="45" t="s">
        <v>14</v>
      </c>
      <c r="E108" s="45" t="s">
        <v>21</v>
      </c>
      <c r="F108" s="45" t="s">
        <v>15</v>
      </c>
      <c r="G108" s="47">
        <v>46</v>
      </c>
      <c r="H108" s="47">
        <v>592.16</v>
      </c>
      <c r="I108" s="47">
        <v>27239.360000000001</v>
      </c>
      <c r="J108" s="47">
        <v>11966.86</v>
      </c>
    </row>
    <row r="109" spans="1:10" ht="15">
      <c r="A109" s="45">
        <v>108</v>
      </c>
      <c r="B109" s="46">
        <v>45619</v>
      </c>
      <c r="C109" s="45" t="s">
        <v>22</v>
      </c>
      <c r="D109" s="45" t="s">
        <v>20</v>
      </c>
      <c r="E109" s="45" t="s">
        <v>24</v>
      </c>
      <c r="F109" s="45" t="s">
        <v>13</v>
      </c>
      <c r="G109" s="47">
        <v>27</v>
      </c>
      <c r="H109" s="47">
        <v>625.55999999999995</v>
      </c>
      <c r="I109" s="47">
        <v>16890.12</v>
      </c>
      <c r="J109" s="47">
        <v>11193.45</v>
      </c>
    </row>
    <row r="110" spans="1:10" ht="15">
      <c r="A110" s="45">
        <v>109</v>
      </c>
      <c r="B110" s="46">
        <v>45623</v>
      </c>
      <c r="C110" s="45" t="s">
        <v>19</v>
      </c>
      <c r="D110" s="45" t="s">
        <v>23</v>
      </c>
      <c r="E110" s="45" t="s">
        <v>21</v>
      </c>
      <c r="F110" s="45" t="s">
        <v>15</v>
      </c>
      <c r="G110" s="47">
        <v>203</v>
      </c>
      <c r="H110" s="47">
        <v>361.17</v>
      </c>
      <c r="I110" s="47">
        <v>73317.509999999995</v>
      </c>
      <c r="J110" s="47">
        <v>38269.42</v>
      </c>
    </row>
    <row r="111" spans="1:10" ht="15">
      <c r="A111" s="45">
        <v>110</v>
      </c>
      <c r="B111" s="46">
        <v>45625</v>
      </c>
      <c r="C111" s="45" t="s">
        <v>10</v>
      </c>
      <c r="D111" s="45" t="s">
        <v>11</v>
      </c>
      <c r="E111" s="45" t="s">
        <v>12</v>
      </c>
      <c r="F111" s="45" t="s">
        <v>15</v>
      </c>
      <c r="G111" s="47">
        <v>23</v>
      </c>
      <c r="H111" s="47">
        <v>172.06</v>
      </c>
      <c r="I111" s="47">
        <v>3957.38</v>
      </c>
      <c r="J111" s="47">
        <v>1987.46</v>
      </c>
    </row>
    <row r="112" spans="1:10" ht="15">
      <c r="A112" s="45">
        <v>111</v>
      </c>
      <c r="B112" s="46">
        <v>45625</v>
      </c>
      <c r="C112" s="45" t="s">
        <v>22</v>
      </c>
      <c r="D112" s="45" t="s">
        <v>23</v>
      </c>
      <c r="E112" s="45" t="s">
        <v>12</v>
      </c>
      <c r="F112" s="45" t="s">
        <v>18</v>
      </c>
      <c r="G112" s="47">
        <v>101</v>
      </c>
      <c r="H112" s="47">
        <v>304.08999999999997</v>
      </c>
      <c r="I112" s="47">
        <v>30713.09</v>
      </c>
      <c r="J112" s="47">
        <v>16639.53</v>
      </c>
    </row>
    <row r="113" spans="1:10" ht="15">
      <c r="A113" s="45">
        <v>112</v>
      </c>
      <c r="B113" s="46">
        <v>45632</v>
      </c>
      <c r="C113" s="45" t="s">
        <v>16</v>
      </c>
      <c r="D113" s="45" t="s">
        <v>20</v>
      </c>
      <c r="E113" s="45" t="s">
        <v>21</v>
      </c>
      <c r="F113" s="45" t="s">
        <v>15</v>
      </c>
      <c r="G113" s="47">
        <v>91</v>
      </c>
      <c r="H113" s="47">
        <v>614.54</v>
      </c>
      <c r="I113" s="47">
        <v>55923.14</v>
      </c>
      <c r="J113" s="47">
        <v>39096.839999999997</v>
      </c>
    </row>
    <row r="114" spans="1:10" ht="15">
      <c r="A114" s="45">
        <v>113</v>
      </c>
      <c r="B114" s="46">
        <v>45631</v>
      </c>
      <c r="C114" s="45" t="s">
        <v>16</v>
      </c>
      <c r="D114" s="45" t="s">
        <v>23</v>
      </c>
      <c r="E114" s="45" t="s">
        <v>12</v>
      </c>
      <c r="F114" s="45" t="s">
        <v>15</v>
      </c>
      <c r="G114" s="47">
        <v>198</v>
      </c>
      <c r="H114" s="47">
        <v>289.24</v>
      </c>
      <c r="I114" s="47">
        <v>57269.52</v>
      </c>
      <c r="J114" s="47">
        <v>33331.1</v>
      </c>
    </row>
    <row r="115" spans="1:10" ht="15">
      <c r="A115" s="45">
        <v>114</v>
      </c>
      <c r="B115" s="46">
        <v>45637</v>
      </c>
      <c r="C115" s="45" t="s">
        <v>22</v>
      </c>
      <c r="D115" s="45" t="s">
        <v>11</v>
      </c>
      <c r="E115" s="45" t="s">
        <v>24</v>
      </c>
      <c r="F115" s="45" t="s">
        <v>13</v>
      </c>
      <c r="G115" s="47">
        <v>142</v>
      </c>
      <c r="H115" s="47">
        <v>228.48</v>
      </c>
      <c r="I115" s="47">
        <v>32444.16</v>
      </c>
      <c r="J115" s="47">
        <v>16292.38</v>
      </c>
    </row>
    <row r="116" spans="1:10" ht="15">
      <c r="A116" s="45">
        <v>115</v>
      </c>
      <c r="B116" s="46">
        <v>45639</v>
      </c>
      <c r="C116" s="45" t="s">
        <v>10</v>
      </c>
      <c r="D116" s="45" t="s">
        <v>23</v>
      </c>
      <c r="E116" s="45" t="s">
        <v>21</v>
      </c>
      <c r="F116" s="45" t="s">
        <v>15</v>
      </c>
      <c r="G116" s="47">
        <v>132</v>
      </c>
      <c r="H116" s="47">
        <v>410.18</v>
      </c>
      <c r="I116" s="47">
        <v>54143.76</v>
      </c>
      <c r="J116" s="47">
        <v>30907.759999999998</v>
      </c>
    </row>
    <row r="117" spans="1:10" ht="15">
      <c r="A117" s="45">
        <v>116</v>
      </c>
      <c r="B117" s="46">
        <v>45640</v>
      </c>
      <c r="C117" s="45" t="s">
        <v>10</v>
      </c>
      <c r="D117" s="45" t="s">
        <v>11</v>
      </c>
      <c r="E117" s="45" t="s">
        <v>17</v>
      </c>
      <c r="F117" s="45" t="s">
        <v>13</v>
      </c>
      <c r="G117" s="47">
        <v>119</v>
      </c>
      <c r="H117" s="47">
        <v>189.53</v>
      </c>
      <c r="I117" s="47">
        <v>22554.07</v>
      </c>
      <c r="J117" s="47">
        <v>10198.98</v>
      </c>
    </row>
    <row r="118" spans="1:10" ht="15">
      <c r="A118" s="45">
        <v>117</v>
      </c>
      <c r="B118" s="46">
        <v>45647</v>
      </c>
      <c r="C118" s="45" t="s">
        <v>22</v>
      </c>
      <c r="D118" s="45" t="s">
        <v>23</v>
      </c>
      <c r="E118" s="45" t="s">
        <v>24</v>
      </c>
      <c r="F118" s="45" t="s">
        <v>13</v>
      </c>
      <c r="G118" s="47">
        <v>33</v>
      </c>
      <c r="H118" s="47">
        <v>382.94</v>
      </c>
      <c r="I118" s="47">
        <v>12637.02</v>
      </c>
      <c r="J118" s="47">
        <v>6640.32</v>
      </c>
    </row>
    <row r="119" spans="1:10" ht="15">
      <c r="A119" s="45">
        <v>118</v>
      </c>
      <c r="B119" s="46">
        <v>45646</v>
      </c>
      <c r="C119" s="45" t="s">
        <v>19</v>
      </c>
      <c r="D119" s="45" t="s">
        <v>11</v>
      </c>
      <c r="E119" s="45" t="s">
        <v>24</v>
      </c>
      <c r="F119" s="45" t="s">
        <v>13</v>
      </c>
      <c r="G119" s="47">
        <v>74</v>
      </c>
      <c r="H119" s="47">
        <v>177.89</v>
      </c>
      <c r="I119" s="47">
        <v>13163.86</v>
      </c>
      <c r="J119" s="47">
        <v>6318.13</v>
      </c>
    </row>
    <row r="120" spans="1:10" ht="15">
      <c r="A120" s="45">
        <v>119</v>
      </c>
      <c r="B120" s="46">
        <v>45650</v>
      </c>
      <c r="C120" s="45" t="s">
        <v>16</v>
      </c>
      <c r="D120" s="45" t="s">
        <v>20</v>
      </c>
      <c r="E120" s="45" t="s">
        <v>21</v>
      </c>
      <c r="F120" s="45" t="s">
        <v>15</v>
      </c>
      <c r="G120" s="47">
        <v>160</v>
      </c>
      <c r="H120" s="47">
        <v>624.04</v>
      </c>
      <c r="I120" s="47">
        <v>99846.399999999994</v>
      </c>
      <c r="J120" s="47">
        <v>66548.990000000005</v>
      </c>
    </row>
    <row r="121" spans="1:10" ht="15">
      <c r="A121" s="45">
        <v>120</v>
      </c>
      <c r="B121" s="46">
        <v>45654</v>
      </c>
      <c r="C121" s="45" t="s">
        <v>10</v>
      </c>
      <c r="D121" s="45" t="s">
        <v>11</v>
      </c>
      <c r="E121" s="45" t="s">
        <v>17</v>
      </c>
      <c r="F121" s="45" t="s">
        <v>13</v>
      </c>
      <c r="G121" s="47">
        <v>77</v>
      </c>
      <c r="H121" s="47">
        <v>195.68</v>
      </c>
      <c r="I121" s="47">
        <v>15067.36</v>
      </c>
      <c r="J121" s="47">
        <v>7055.86</v>
      </c>
    </row>
    <row r="122" spans="1:10" ht="15">
      <c r="A122" s="45">
        <v>121</v>
      </c>
      <c r="B122" s="46">
        <v>45659</v>
      </c>
      <c r="C122" s="45" t="s">
        <v>10</v>
      </c>
      <c r="D122" s="45" t="s">
        <v>20</v>
      </c>
      <c r="E122" s="45" t="s">
        <v>12</v>
      </c>
      <c r="F122" s="45" t="s">
        <v>15</v>
      </c>
      <c r="G122" s="47">
        <v>79</v>
      </c>
      <c r="H122" s="47">
        <v>521.82000000000005</v>
      </c>
      <c r="I122" s="47">
        <v>41223.78</v>
      </c>
      <c r="J122" s="47">
        <v>28154.86</v>
      </c>
    </row>
    <row r="123" spans="1:10" ht="15">
      <c r="A123" s="45">
        <v>122</v>
      </c>
      <c r="B123" s="46">
        <v>45659</v>
      </c>
      <c r="C123" s="45" t="s">
        <v>16</v>
      </c>
      <c r="D123" s="45" t="s">
        <v>11</v>
      </c>
      <c r="E123" s="45" t="s">
        <v>12</v>
      </c>
      <c r="F123" s="45" t="s">
        <v>13</v>
      </c>
      <c r="G123" s="47">
        <v>16</v>
      </c>
      <c r="H123" s="47">
        <v>172.98</v>
      </c>
      <c r="I123" s="47">
        <v>2767.68</v>
      </c>
      <c r="J123" s="47">
        <v>1392.81</v>
      </c>
    </row>
    <row r="124" spans="1:10" ht="15">
      <c r="A124" s="45">
        <v>123</v>
      </c>
      <c r="B124" s="46">
        <v>45664</v>
      </c>
      <c r="C124" s="45" t="s">
        <v>22</v>
      </c>
      <c r="D124" s="45" t="s">
        <v>14</v>
      </c>
      <c r="E124" s="45" t="s">
        <v>21</v>
      </c>
      <c r="F124" s="45" t="s">
        <v>13</v>
      </c>
      <c r="G124" s="47">
        <v>45</v>
      </c>
      <c r="H124" s="47">
        <v>622.94000000000005</v>
      </c>
      <c r="I124" s="47">
        <v>28032.3</v>
      </c>
      <c r="J124" s="47">
        <v>12026.76</v>
      </c>
    </row>
    <row r="125" spans="1:10" ht="15">
      <c r="A125" s="45">
        <v>124</v>
      </c>
      <c r="B125" s="46">
        <v>45668</v>
      </c>
      <c r="C125" s="45" t="s">
        <v>10</v>
      </c>
      <c r="D125" s="45" t="s">
        <v>14</v>
      </c>
      <c r="E125" s="45" t="s">
        <v>21</v>
      </c>
      <c r="F125" s="45" t="s">
        <v>18</v>
      </c>
      <c r="G125" s="47">
        <v>60</v>
      </c>
      <c r="H125" s="47">
        <v>583.13</v>
      </c>
      <c r="I125" s="47">
        <v>34987.800000000003</v>
      </c>
      <c r="J125" s="47">
        <v>14236.42</v>
      </c>
    </row>
    <row r="126" spans="1:10" ht="15">
      <c r="A126" s="45">
        <v>125</v>
      </c>
      <c r="B126" s="46">
        <v>45667</v>
      </c>
      <c r="C126" s="45" t="s">
        <v>16</v>
      </c>
      <c r="D126" s="45" t="s">
        <v>20</v>
      </c>
      <c r="E126" s="45" t="s">
        <v>17</v>
      </c>
      <c r="F126" s="45" t="s">
        <v>13</v>
      </c>
      <c r="G126" s="47">
        <v>109</v>
      </c>
      <c r="H126" s="47">
        <v>524.64</v>
      </c>
      <c r="I126" s="47">
        <v>57185.760000000002</v>
      </c>
      <c r="J126" s="47">
        <v>37334.910000000003</v>
      </c>
    </row>
    <row r="127" spans="1:10" ht="15">
      <c r="A127" s="45">
        <v>126</v>
      </c>
      <c r="B127" s="46">
        <v>45672</v>
      </c>
      <c r="C127" s="45" t="s">
        <v>16</v>
      </c>
      <c r="D127" s="45" t="s">
        <v>23</v>
      </c>
      <c r="E127" s="45" t="s">
        <v>12</v>
      </c>
      <c r="F127" s="45" t="s">
        <v>15</v>
      </c>
      <c r="G127" s="47">
        <v>119</v>
      </c>
      <c r="H127" s="47">
        <v>290.13</v>
      </c>
      <c r="I127" s="47">
        <v>34525.47</v>
      </c>
      <c r="J127" s="47">
        <v>18368.740000000002</v>
      </c>
    </row>
    <row r="128" spans="1:10" ht="15">
      <c r="A128" s="45">
        <v>127</v>
      </c>
      <c r="B128" s="46">
        <v>45675</v>
      </c>
      <c r="C128" s="45" t="s">
        <v>16</v>
      </c>
      <c r="D128" s="45" t="s">
        <v>23</v>
      </c>
      <c r="E128" s="45" t="s">
        <v>12</v>
      </c>
      <c r="F128" s="45" t="s">
        <v>15</v>
      </c>
      <c r="G128" s="47">
        <v>155</v>
      </c>
      <c r="H128" s="47">
        <v>283.12</v>
      </c>
      <c r="I128" s="47">
        <v>43883.6</v>
      </c>
      <c r="J128" s="47">
        <v>23983.75</v>
      </c>
    </row>
    <row r="129" spans="1:10" ht="15">
      <c r="A129" s="45">
        <v>128</v>
      </c>
      <c r="B129" s="46">
        <v>45679</v>
      </c>
      <c r="C129" s="45" t="s">
        <v>10</v>
      </c>
      <c r="D129" s="45" t="s">
        <v>14</v>
      </c>
      <c r="E129" s="45" t="s">
        <v>17</v>
      </c>
      <c r="F129" s="45" t="s">
        <v>15</v>
      </c>
      <c r="G129" s="47">
        <v>193</v>
      </c>
      <c r="H129" s="47">
        <v>463.51</v>
      </c>
      <c r="I129" s="47">
        <v>89457.43</v>
      </c>
      <c r="J129" s="47">
        <v>40634.74</v>
      </c>
    </row>
    <row r="130" spans="1:10" ht="15">
      <c r="A130" s="45">
        <v>129</v>
      </c>
      <c r="B130" s="46">
        <v>45681</v>
      </c>
      <c r="C130" s="45" t="s">
        <v>19</v>
      </c>
      <c r="D130" s="45" t="s">
        <v>14</v>
      </c>
      <c r="E130" s="45" t="s">
        <v>21</v>
      </c>
      <c r="F130" s="45" t="s">
        <v>18</v>
      </c>
      <c r="G130" s="47">
        <v>160</v>
      </c>
      <c r="H130" s="47">
        <v>522.95000000000005</v>
      </c>
      <c r="I130" s="47">
        <v>83672</v>
      </c>
      <c r="J130" s="47">
        <v>34884.129999999997</v>
      </c>
    </row>
    <row r="131" spans="1:10" ht="15">
      <c r="A131" s="45">
        <v>130</v>
      </c>
      <c r="B131" s="46">
        <v>45682</v>
      </c>
      <c r="C131" s="45" t="s">
        <v>22</v>
      </c>
      <c r="D131" s="45" t="s">
        <v>23</v>
      </c>
      <c r="E131" s="45" t="s">
        <v>24</v>
      </c>
      <c r="F131" s="45" t="s">
        <v>18</v>
      </c>
      <c r="G131" s="47">
        <v>118</v>
      </c>
      <c r="H131" s="47">
        <v>396.39</v>
      </c>
      <c r="I131" s="47">
        <v>46774.02</v>
      </c>
      <c r="J131" s="47">
        <v>24340.36</v>
      </c>
    </row>
    <row r="132" spans="1:10" ht="15">
      <c r="A132" s="45">
        <v>131</v>
      </c>
      <c r="B132" s="46">
        <v>45686</v>
      </c>
      <c r="C132" s="45" t="s">
        <v>19</v>
      </c>
      <c r="D132" s="45" t="s">
        <v>14</v>
      </c>
      <c r="E132" s="45" t="s">
        <v>12</v>
      </c>
      <c r="F132" s="45" t="s">
        <v>15</v>
      </c>
      <c r="G132" s="47">
        <v>162</v>
      </c>
      <c r="H132" s="47">
        <v>375.1</v>
      </c>
      <c r="I132" s="47">
        <v>60766.2</v>
      </c>
      <c r="J132" s="47">
        <v>25519.31</v>
      </c>
    </row>
    <row r="133" spans="1:10" ht="15">
      <c r="A133" s="45">
        <v>132</v>
      </c>
      <c r="B133" s="46">
        <v>45689</v>
      </c>
      <c r="C133" s="45" t="s">
        <v>10</v>
      </c>
      <c r="D133" s="45" t="s">
        <v>14</v>
      </c>
      <c r="E133" s="45" t="s">
        <v>12</v>
      </c>
      <c r="F133" s="45" t="s">
        <v>18</v>
      </c>
      <c r="G133" s="47">
        <v>51</v>
      </c>
      <c r="H133" s="47">
        <v>431.89</v>
      </c>
      <c r="I133" s="47">
        <v>22026.39</v>
      </c>
      <c r="J133" s="47">
        <v>9892.86</v>
      </c>
    </row>
    <row r="134" spans="1:10" ht="15">
      <c r="A134" s="45">
        <v>133</v>
      </c>
      <c r="B134" s="46">
        <v>45691</v>
      </c>
      <c r="C134" s="45" t="s">
        <v>22</v>
      </c>
      <c r="D134" s="45" t="s">
        <v>23</v>
      </c>
      <c r="E134" s="45" t="s">
        <v>17</v>
      </c>
      <c r="F134" s="45" t="s">
        <v>15</v>
      </c>
      <c r="G134" s="47">
        <v>87</v>
      </c>
      <c r="H134" s="47">
        <v>378.97</v>
      </c>
      <c r="I134" s="47">
        <v>32970.39</v>
      </c>
      <c r="J134" s="47">
        <v>17512.75</v>
      </c>
    </row>
    <row r="135" spans="1:10" ht="15">
      <c r="A135" s="45">
        <v>134</v>
      </c>
      <c r="B135" s="46">
        <v>45694</v>
      </c>
      <c r="C135" s="45" t="s">
        <v>16</v>
      </c>
      <c r="D135" s="45" t="s">
        <v>11</v>
      </c>
      <c r="E135" s="45" t="s">
        <v>24</v>
      </c>
      <c r="F135" s="45" t="s">
        <v>13</v>
      </c>
      <c r="G135" s="47">
        <v>92</v>
      </c>
      <c r="H135" s="47">
        <v>203.94</v>
      </c>
      <c r="I135" s="47">
        <v>18762.48</v>
      </c>
      <c r="J135" s="47">
        <v>9593.25</v>
      </c>
    </row>
    <row r="136" spans="1:10" ht="15">
      <c r="A136" s="45">
        <v>135</v>
      </c>
      <c r="B136" s="46">
        <v>45700</v>
      </c>
      <c r="C136" s="45" t="s">
        <v>22</v>
      </c>
      <c r="D136" s="45" t="s">
        <v>14</v>
      </c>
      <c r="E136" s="45" t="s">
        <v>24</v>
      </c>
      <c r="F136" s="45" t="s">
        <v>13</v>
      </c>
      <c r="G136" s="47">
        <v>197</v>
      </c>
      <c r="H136" s="47">
        <v>571.36</v>
      </c>
      <c r="I136" s="47">
        <v>112557.92</v>
      </c>
      <c r="J136" s="47">
        <v>49930.26</v>
      </c>
    </row>
    <row r="137" spans="1:10" ht="15">
      <c r="A137" s="45">
        <v>136</v>
      </c>
      <c r="B137" s="46">
        <v>45701</v>
      </c>
      <c r="C137" s="45" t="s">
        <v>10</v>
      </c>
      <c r="D137" s="45" t="s">
        <v>11</v>
      </c>
      <c r="E137" s="45" t="s">
        <v>17</v>
      </c>
      <c r="F137" s="45" t="s">
        <v>15</v>
      </c>
      <c r="G137" s="47">
        <v>61</v>
      </c>
      <c r="H137" s="47">
        <v>221.77</v>
      </c>
      <c r="I137" s="47">
        <v>13527.97</v>
      </c>
      <c r="J137" s="47">
        <v>6124.27</v>
      </c>
    </row>
    <row r="138" spans="1:10" ht="15">
      <c r="A138" s="45">
        <v>137</v>
      </c>
      <c r="B138" s="46">
        <v>45707</v>
      </c>
      <c r="C138" s="45" t="s">
        <v>10</v>
      </c>
      <c r="D138" s="45" t="s">
        <v>11</v>
      </c>
      <c r="E138" s="45" t="s">
        <v>21</v>
      </c>
      <c r="F138" s="45" t="s">
        <v>13</v>
      </c>
      <c r="G138" s="47">
        <v>53</v>
      </c>
      <c r="H138" s="47">
        <v>262.97000000000003</v>
      </c>
      <c r="I138" s="47">
        <v>13937.41</v>
      </c>
      <c r="J138" s="47">
        <v>6928.53</v>
      </c>
    </row>
    <row r="139" spans="1:10" ht="15">
      <c r="A139" s="45">
        <v>138</v>
      </c>
      <c r="B139" s="46">
        <v>45707</v>
      </c>
      <c r="C139" s="45" t="s">
        <v>16</v>
      </c>
      <c r="D139" s="45" t="s">
        <v>14</v>
      </c>
      <c r="E139" s="45" t="s">
        <v>21</v>
      </c>
      <c r="F139" s="45" t="s">
        <v>13</v>
      </c>
      <c r="G139" s="47">
        <v>114</v>
      </c>
      <c r="H139" s="47">
        <v>560.46</v>
      </c>
      <c r="I139" s="47">
        <v>63892.44</v>
      </c>
      <c r="J139" s="47">
        <v>27202.42</v>
      </c>
    </row>
    <row r="140" spans="1:10" ht="15">
      <c r="A140" s="45">
        <v>139</v>
      </c>
      <c r="B140" s="46">
        <v>45711</v>
      </c>
      <c r="C140" s="45" t="s">
        <v>19</v>
      </c>
      <c r="D140" s="45" t="s">
        <v>20</v>
      </c>
      <c r="E140" s="45" t="s">
        <v>17</v>
      </c>
      <c r="F140" s="45" t="s">
        <v>15</v>
      </c>
      <c r="G140" s="47">
        <v>114</v>
      </c>
      <c r="H140" s="47">
        <v>518.33000000000004</v>
      </c>
      <c r="I140" s="47">
        <v>59089.62</v>
      </c>
      <c r="J140" s="47">
        <v>40124.29</v>
      </c>
    </row>
    <row r="141" spans="1:10" ht="15">
      <c r="A141" s="45">
        <v>140</v>
      </c>
      <c r="B141" s="46">
        <v>45715</v>
      </c>
      <c r="C141" s="45" t="s">
        <v>10</v>
      </c>
      <c r="D141" s="45" t="s">
        <v>14</v>
      </c>
      <c r="E141" s="45" t="s">
        <v>12</v>
      </c>
      <c r="F141" s="45" t="s">
        <v>18</v>
      </c>
      <c r="G141" s="47">
        <v>140</v>
      </c>
      <c r="H141" s="47">
        <v>425.57</v>
      </c>
      <c r="I141" s="47">
        <v>59579.8</v>
      </c>
      <c r="J141" s="47">
        <v>24966.51</v>
      </c>
    </row>
    <row r="142" spans="1:10" ht="15">
      <c r="A142" s="45">
        <v>141</v>
      </c>
      <c r="B142" s="46">
        <v>45719</v>
      </c>
      <c r="C142" s="45" t="s">
        <v>19</v>
      </c>
      <c r="D142" s="45" t="s">
        <v>23</v>
      </c>
      <c r="E142" s="45" t="s">
        <v>24</v>
      </c>
      <c r="F142" s="45" t="s">
        <v>15</v>
      </c>
      <c r="G142" s="47">
        <v>42</v>
      </c>
      <c r="H142" s="47">
        <v>321.16000000000003</v>
      </c>
      <c r="I142" s="47">
        <v>13488.72</v>
      </c>
      <c r="J142" s="47">
        <v>7328.52</v>
      </c>
    </row>
    <row r="143" spans="1:10" ht="15">
      <c r="A143" s="45">
        <v>142</v>
      </c>
      <c r="B143" s="46">
        <v>45720</v>
      </c>
      <c r="C143" s="45" t="s">
        <v>16</v>
      </c>
      <c r="D143" s="45" t="s">
        <v>11</v>
      </c>
      <c r="E143" s="45" t="s">
        <v>12</v>
      </c>
      <c r="F143" s="45" t="s">
        <v>13</v>
      </c>
      <c r="G143" s="47">
        <v>177</v>
      </c>
      <c r="H143" s="47">
        <v>167.27</v>
      </c>
      <c r="I143" s="47">
        <v>29606.79</v>
      </c>
      <c r="J143" s="47">
        <v>15097.63</v>
      </c>
    </row>
    <row r="144" spans="1:10" ht="15">
      <c r="A144" s="45">
        <v>143</v>
      </c>
      <c r="B144" s="46">
        <v>45723</v>
      </c>
      <c r="C144" s="45" t="s">
        <v>16</v>
      </c>
      <c r="D144" s="45" t="s">
        <v>14</v>
      </c>
      <c r="E144" s="45" t="s">
        <v>24</v>
      </c>
      <c r="F144" s="45" t="s">
        <v>18</v>
      </c>
      <c r="G144" s="47">
        <v>215</v>
      </c>
      <c r="H144" s="47">
        <v>472.25</v>
      </c>
      <c r="I144" s="47">
        <v>101533.75</v>
      </c>
      <c r="J144" s="47">
        <v>45254.559999999998</v>
      </c>
    </row>
    <row r="145" spans="1:10" ht="15">
      <c r="A145" s="45">
        <v>144</v>
      </c>
      <c r="B145" s="46">
        <v>45728</v>
      </c>
      <c r="C145" s="45" t="s">
        <v>16</v>
      </c>
      <c r="D145" s="45" t="s">
        <v>23</v>
      </c>
      <c r="E145" s="45" t="s">
        <v>17</v>
      </c>
      <c r="F145" s="45" t="s">
        <v>15</v>
      </c>
      <c r="G145" s="47">
        <v>88</v>
      </c>
      <c r="H145" s="47">
        <v>351.24</v>
      </c>
      <c r="I145" s="47">
        <v>30909.119999999999</v>
      </c>
      <c r="J145" s="47">
        <v>17913.150000000001</v>
      </c>
    </row>
    <row r="146" spans="1:10" ht="15">
      <c r="A146" s="45">
        <v>145</v>
      </c>
      <c r="B146" s="46">
        <v>45728</v>
      </c>
      <c r="C146" s="45" t="s">
        <v>10</v>
      </c>
      <c r="D146" s="45" t="s">
        <v>14</v>
      </c>
      <c r="E146" s="45" t="s">
        <v>21</v>
      </c>
      <c r="F146" s="45" t="s">
        <v>18</v>
      </c>
      <c r="G146" s="47">
        <v>208</v>
      </c>
      <c r="H146" s="47">
        <v>598.54</v>
      </c>
      <c r="I146" s="47">
        <v>124496.32000000001</v>
      </c>
      <c r="J146" s="47">
        <v>51174.15</v>
      </c>
    </row>
    <row r="147" spans="1:10" ht="15">
      <c r="A147" s="45">
        <v>146</v>
      </c>
      <c r="B147" s="46">
        <v>45734</v>
      </c>
      <c r="C147" s="45" t="s">
        <v>22</v>
      </c>
      <c r="D147" s="45" t="s">
        <v>11</v>
      </c>
      <c r="E147" s="45" t="s">
        <v>17</v>
      </c>
      <c r="F147" s="45" t="s">
        <v>15</v>
      </c>
      <c r="G147" s="47">
        <v>143</v>
      </c>
      <c r="H147" s="47">
        <v>258.85000000000002</v>
      </c>
      <c r="I147" s="47">
        <v>37015.550000000003</v>
      </c>
      <c r="J147" s="47">
        <v>17812.14</v>
      </c>
    </row>
    <row r="148" spans="1:10" ht="15">
      <c r="A148" s="45">
        <v>147</v>
      </c>
      <c r="B148" s="46">
        <v>45737</v>
      </c>
      <c r="C148" s="45" t="s">
        <v>22</v>
      </c>
      <c r="D148" s="45" t="s">
        <v>23</v>
      </c>
      <c r="E148" s="45" t="s">
        <v>21</v>
      </c>
      <c r="F148" s="45" t="s">
        <v>15</v>
      </c>
      <c r="G148" s="47">
        <v>24</v>
      </c>
      <c r="H148" s="47">
        <v>479.04</v>
      </c>
      <c r="I148" s="47">
        <v>11496.96</v>
      </c>
      <c r="J148" s="47">
        <v>6279.93</v>
      </c>
    </row>
    <row r="149" spans="1:10" ht="15">
      <c r="A149" s="45">
        <v>148</v>
      </c>
      <c r="B149" s="46">
        <v>45738</v>
      </c>
      <c r="C149" s="45" t="s">
        <v>22</v>
      </c>
      <c r="D149" s="45" t="s">
        <v>11</v>
      </c>
      <c r="E149" s="45" t="s">
        <v>17</v>
      </c>
      <c r="F149" s="45" t="s">
        <v>15</v>
      </c>
      <c r="G149" s="47">
        <v>44</v>
      </c>
      <c r="H149" s="47">
        <v>251.79</v>
      </c>
      <c r="I149" s="47">
        <v>11078.76</v>
      </c>
      <c r="J149" s="47">
        <v>5020.42</v>
      </c>
    </row>
    <row r="150" spans="1:10" ht="15">
      <c r="A150" s="45">
        <v>149</v>
      </c>
      <c r="B150" s="46">
        <v>45741</v>
      </c>
      <c r="C150" s="45" t="s">
        <v>19</v>
      </c>
      <c r="D150" s="45" t="s">
        <v>14</v>
      </c>
      <c r="E150" s="45" t="s">
        <v>21</v>
      </c>
      <c r="F150" s="45" t="s">
        <v>18</v>
      </c>
      <c r="G150" s="47">
        <v>176</v>
      </c>
      <c r="H150" s="47">
        <v>541.54999999999995</v>
      </c>
      <c r="I150" s="47">
        <v>95312.8</v>
      </c>
      <c r="J150" s="47">
        <v>41743.67</v>
      </c>
    </row>
    <row r="151" spans="1:10" ht="15">
      <c r="A151" s="45">
        <v>150</v>
      </c>
      <c r="B151" s="46">
        <v>45744</v>
      </c>
      <c r="C151" s="45" t="s">
        <v>22</v>
      </c>
      <c r="D151" s="45" t="s">
        <v>11</v>
      </c>
      <c r="E151" s="45" t="s">
        <v>21</v>
      </c>
      <c r="F151" s="45" t="s">
        <v>18</v>
      </c>
      <c r="G151" s="47">
        <v>52</v>
      </c>
      <c r="H151" s="47">
        <v>295.22000000000003</v>
      </c>
      <c r="I151" s="47">
        <v>15351.44</v>
      </c>
      <c r="J151" s="47">
        <v>7671.14</v>
      </c>
    </row>
    <row r="152" spans="1:10" ht="15">
      <c r="A152" s="45">
        <v>151</v>
      </c>
      <c r="B152" s="46">
        <v>45748</v>
      </c>
      <c r="C152" s="45" t="s">
        <v>10</v>
      </c>
      <c r="D152" s="45" t="s">
        <v>23</v>
      </c>
      <c r="E152" s="45" t="s">
        <v>12</v>
      </c>
      <c r="F152" s="45" t="s">
        <v>15</v>
      </c>
      <c r="G152" s="47">
        <v>147</v>
      </c>
      <c r="H152" s="47">
        <v>306.17</v>
      </c>
      <c r="I152" s="47">
        <v>45006.99</v>
      </c>
      <c r="J152" s="47">
        <v>25273.7</v>
      </c>
    </row>
    <row r="153" spans="1:10" ht="15">
      <c r="A153" s="45">
        <v>152</v>
      </c>
      <c r="B153" s="46">
        <v>45752</v>
      </c>
      <c r="C153" s="45" t="s">
        <v>22</v>
      </c>
      <c r="D153" s="45" t="s">
        <v>14</v>
      </c>
      <c r="E153" s="45" t="s">
        <v>12</v>
      </c>
      <c r="F153" s="45" t="s">
        <v>13</v>
      </c>
      <c r="G153" s="47">
        <v>53</v>
      </c>
      <c r="H153" s="47">
        <v>458.82</v>
      </c>
      <c r="I153" s="47">
        <v>24317.46</v>
      </c>
      <c r="J153" s="47">
        <v>10472.68</v>
      </c>
    </row>
    <row r="154" spans="1:10" ht="15">
      <c r="A154" s="45">
        <v>153</v>
      </c>
      <c r="B154" s="46">
        <v>45754</v>
      </c>
      <c r="C154" s="45" t="s">
        <v>22</v>
      </c>
      <c r="D154" s="45" t="s">
        <v>14</v>
      </c>
      <c r="E154" s="45" t="s">
        <v>17</v>
      </c>
      <c r="F154" s="45" t="s">
        <v>15</v>
      </c>
      <c r="G154" s="47">
        <v>73</v>
      </c>
      <c r="H154" s="47">
        <v>533.99</v>
      </c>
      <c r="I154" s="47">
        <v>38981.269999999997</v>
      </c>
      <c r="J154" s="47">
        <v>15318.19</v>
      </c>
    </row>
    <row r="155" spans="1:10" ht="15">
      <c r="A155" s="45">
        <v>154</v>
      </c>
      <c r="B155" s="46">
        <v>45754</v>
      </c>
      <c r="C155" s="45" t="s">
        <v>16</v>
      </c>
      <c r="D155" s="45" t="s">
        <v>20</v>
      </c>
      <c r="E155" s="45" t="s">
        <v>21</v>
      </c>
      <c r="F155" s="45" t="s">
        <v>13</v>
      </c>
      <c r="G155" s="47">
        <v>148</v>
      </c>
      <c r="H155" s="47">
        <v>671.07</v>
      </c>
      <c r="I155" s="47">
        <v>99318.36</v>
      </c>
      <c r="J155" s="47">
        <v>66004.679999999993</v>
      </c>
    </row>
    <row r="156" spans="1:10" ht="15">
      <c r="A156" s="45">
        <v>155</v>
      </c>
      <c r="B156" s="46">
        <v>45761</v>
      </c>
      <c r="C156" s="45" t="s">
        <v>22</v>
      </c>
      <c r="D156" s="45" t="s">
        <v>23</v>
      </c>
      <c r="E156" s="45" t="s">
        <v>17</v>
      </c>
      <c r="F156" s="45" t="s">
        <v>15</v>
      </c>
      <c r="G156" s="47">
        <v>174</v>
      </c>
      <c r="H156" s="47">
        <v>402.97</v>
      </c>
      <c r="I156" s="47">
        <v>70116.78</v>
      </c>
      <c r="J156" s="47">
        <v>37183.67</v>
      </c>
    </row>
    <row r="157" spans="1:10" ht="15">
      <c r="A157" s="45">
        <v>156</v>
      </c>
      <c r="B157" s="46">
        <v>45760</v>
      </c>
      <c r="C157" s="45" t="s">
        <v>10</v>
      </c>
      <c r="D157" s="45" t="s">
        <v>23</v>
      </c>
      <c r="E157" s="45" t="s">
        <v>24</v>
      </c>
      <c r="F157" s="45" t="s">
        <v>13</v>
      </c>
      <c r="G157" s="47">
        <v>31</v>
      </c>
      <c r="H157" s="47">
        <v>388.03</v>
      </c>
      <c r="I157" s="47">
        <v>12028.93</v>
      </c>
      <c r="J157" s="47">
        <v>6936.28</v>
      </c>
    </row>
    <row r="158" spans="1:10" ht="15">
      <c r="A158" s="45">
        <v>157</v>
      </c>
      <c r="B158" s="46">
        <v>45765</v>
      </c>
      <c r="C158" s="45" t="s">
        <v>19</v>
      </c>
      <c r="D158" s="45" t="s">
        <v>20</v>
      </c>
      <c r="E158" s="45" t="s">
        <v>12</v>
      </c>
      <c r="F158" s="45" t="s">
        <v>13</v>
      </c>
      <c r="G158" s="47">
        <v>180</v>
      </c>
      <c r="H158" s="47">
        <v>462.65</v>
      </c>
      <c r="I158" s="47">
        <v>83277</v>
      </c>
      <c r="J158" s="47">
        <v>58962.11</v>
      </c>
    </row>
    <row r="159" spans="1:10" ht="15">
      <c r="A159" s="45">
        <v>158</v>
      </c>
      <c r="B159" s="46">
        <v>45770</v>
      </c>
      <c r="C159" s="45" t="s">
        <v>19</v>
      </c>
      <c r="D159" s="45" t="s">
        <v>11</v>
      </c>
      <c r="E159" s="45" t="s">
        <v>17</v>
      </c>
      <c r="F159" s="45" t="s">
        <v>13</v>
      </c>
      <c r="G159" s="47">
        <v>15</v>
      </c>
      <c r="H159" s="47">
        <v>174.56</v>
      </c>
      <c r="I159" s="47">
        <v>2618.4</v>
      </c>
      <c r="J159" s="47">
        <v>1268.74</v>
      </c>
    </row>
    <row r="160" spans="1:10" ht="15">
      <c r="A160" s="45">
        <v>159</v>
      </c>
      <c r="B160" s="46">
        <v>45772</v>
      </c>
      <c r="C160" s="45" t="s">
        <v>10</v>
      </c>
      <c r="D160" s="45" t="s">
        <v>23</v>
      </c>
      <c r="E160" s="45" t="s">
        <v>17</v>
      </c>
      <c r="F160" s="45" t="s">
        <v>13</v>
      </c>
      <c r="G160" s="47">
        <v>214</v>
      </c>
      <c r="H160" s="47">
        <v>343.77</v>
      </c>
      <c r="I160" s="47">
        <v>73566.78</v>
      </c>
      <c r="J160" s="47">
        <v>41184.269999999997</v>
      </c>
    </row>
    <row r="161" spans="1:10" ht="15">
      <c r="A161" s="45">
        <v>160</v>
      </c>
      <c r="B161" s="46">
        <v>45773</v>
      </c>
      <c r="C161" s="45" t="s">
        <v>10</v>
      </c>
      <c r="D161" s="45" t="s">
        <v>11</v>
      </c>
      <c r="E161" s="45" t="s">
        <v>17</v>
      </c>
      <c r="F161" s="45" t="s">
        <v>18</v>
      </c>
      <c r="G161" s="47">
        <v>170</v>
      </c>
      <c r="H161" s="47">
        <v>224.55</v>
      </c>
      <c r="I161" s="47">
        <v>38173.5</v>
      </c>
      <c r="J161" s="47">
        <v>18784.939999999999</v>
      </c>
    </row>
    <row r="162" spans="1:10" ht="15">
      <c r="A162" s="45">
        <v>161</v>
      </c>
      <c r="B162" s="46">
        <v>45778</v>
      </c>
      <c r="C162" s="45" t="s">
        <v>10</v>
      </c>
      <c r="D162" s="45" t="s">
        <v>20</v>
      </c>
      <c r="E162" s="45" t="s">
        <v>12</v>
      </c>
      <c r="F162" s="45" t="s">
        <v>15</v>
      </c>
      <c r="G162" s="47">
        <v>175</v>
      </c>
      <c r="H162" s="47">
        <v>487.84</v>
      </c>
      <c r="I162" s="47">
        <v>85372</v>
      </c>
      <c r="J162" s="47">
        <v>60426.98</v>
      </c>
    </row>
    <row r="163" spans="1:10" ht="15">
      <c r="A163" s="45">
        <v>162</v>
      </c>
      <c r="B163" s="46">
        <v>45781</v>
      </c>
      <c r="C163" s="45" t="s">
        <v>16</v>
      </c>
      <c r="D163" s="45" t="s">
        <v>11</v>
      </c>
      <c r="E163" s="45" t="s">
        <v>24</v>
      </c>
      <c r="F163" s="45" t="s">
        <v>18</v>
      </c>
      <c r="G163" s="47">
        <v>134</v>
      </c>
      <c r="H163" s="47">
        <v>196.33</v>
      </c>
      <c r="I163" s="47">
        <v>26308.22</v>
      </c>
      <c r="J163" s="47">
        <v>12959.68</v>
      </c>
    </row>
    <row r="164" spans="1:10" ht="15">
      <c r="A164" s="45">
        <v>163</v>
      </c>
      <c r="B164" s="46">
        <v>45782</v>
      </c>
      <c r="C164" s="45" t="s">
        <v>10</v>
      </c>
      <c r="D164" s="45" t="s">
        <v>14</v>
      </c>
      <c r="E164" s="45" t="s">
        <v>21</v>
      </c>
      <c r="F164" s="45" t="s">
        <v>13</v>
      </c>
      <c r="G164" s="47">
        <v>179</v>
      </c>
      <c r="H164" s="47">
        <v>568.36</v>
      </c>
      <c r="I164" s="47">
        <v>101736.44</v>
      </c>
      <c r="J164" s="47">
        <v>41895.94</v>
      </c>
    </row>
    <row r="165" spans="1:10" ht="15">
      <c r="A165" s="45">
        <v>164</v>
      </c>
      <c r="B165" s="46">
        <v>45786</v>
      </c>
      <c r="C165" s="45" t="s">
        <v>16</v>
      </c>
      <c r="D165" s="45" t="s">
        <v>20</v>
      </c>
      <c r="E165" s="45" t="s">
        <v>24</v>
      </c>
      <c r="F165" s="45" t="s">
        <v>18</v>
      </c>
      <c r="G165" s="47">
        <v>216</v>
      </c>
      <c r="H165" s="47">
        <v>582.54999999999995</v>
      </c>
      <c r="I165" s="47">
        <v>125830.8</v>
      </c>
      <c r="J165" s="47">
        <v>89739.12</v>
      </c>
    </row>
    <row r="166" spans="1:10" ht="15">
      <c r="A166" s="45">
        <v>165</v>
      </c>
      <c r="B166" s="46">
        <v>45789</v>
      </c>
      <c r="C166" s="45" t="s">
        <v>10</v>
      </c>
      <c r="D166" s="45" t="s">
        <v>14</v>
      </c>
      <c r="E166" s="45" t="s">
        <v>12</v>
      </c>
      <c r="F166" s="45" t="s">
        <v>13</v>
      </c>
      <c r="G166" s="47">
        <v>81</v>
      </c>
      <c r="H166" s="47">
        <v>429.7</v>
      </c>
      <c r="I166" s="47">
        <v>34805.699999999997</v>
      </c>
      <c r="J166" s="47">
        <v>15478.51</v>
      </c>
    </row>
    <row r="167" spans="1:10" ht="15">
      <c r="A167" s="45">
        <v>166</v>
      </c>
      <c r="B167" s="46">
        <v>45791</v>
      </c>
      <c r="C167" s="45" t="s">
        <v>10</v>
      </c>
      <c r="D167" s="45" t="s">
        <v>20</v>
      </c>
      <c r="E167" s="45" t="s">
        <v>17</v>
      </c>
      <c r="F167" s="45" t="s">
        <v>15</v>
      </c>
      <c r="G167" s="47">
        <v>99</v>
      </c>
      <c r="H167" s="47">
        <v>576.48</v>
      </c>
      <c r="I167" s="47">
        <v>57071.519999999997</v>
      </c>
      <c r="J167" s="47">
        <v>38504.11</v>
      </c>
    </row>
    <row r="168" spans="1:10" ht="15">
      <c r="A168" s="45">
        <v>167</v>
      </c>
      <c r="B168" s="46">
        <v>45797</v>
      </c>
      <c r="C168" s="45" t="s">
        <v>19</v>
      </c>
      <c r="D168" s="45" t="s">
        <v>11</v>
      </c>
      <c r="E168" s="45" t="s">
        <v>12</v>
      </c>
      <c r="F168" s="45" t="s">
        <v>13</v>
      </c>
      <c r="G168" s="47">
        <v>126</v>
      </c>
      <c r="H168" s="47">
        <v>179.86</v>
      </c>
      <c r="I168" s="47">
        <v>22662.36</v>
      </c>
      <c r="J168" s="47">
        <v>10542.5</v>
      </c>
    </row>
    <row r="169" spans="1:10" ht="15">
      <c r="A169" s="45">
        <v>168</v>
      </c>
      <c r="B169" s="46">
        <v>45798</v>
      </c>
      <c r="C169" s="45" t="s">
        <v>10</v>
      </c>
      <c r="D169" s="45" t="s">
        <v>11</v>
      </c>
      <c r="E169" s="45" t="s">
        <v>12</v>
      </c>
      <c r="F169" s="45" t="s">
        <v>18</v>
      </c>
      <c r="G169" s="47">
        <v>58</v>
      </c>
      <c r="H169" s="47">
        <v>175</v>
      </c>
      <c r="I169" s="47">
        <v>10150</v>
      </c>
      <c r="J169" s="47">
        <v>4585.25</v>
      </c>
    </row>
    <row r="170" spans="1:10" ht="15">
      <c r="A170" s="45">
        <v>169</v>
      </c>
      <c r="B170" s="46">
        <v>45799</v>
      </c>
      <c r="C170" s="45" t="s">
        <v>10</v>
      </c>
      <c r="D170" s="45" t="s">
        <v>20</v>
      </c>
      <c r="E170" s="45" t="s">
        <v>17</v>
      </c>
      <c r="F170" s="45" t="s">
        <v>18</v>
      </c>
      <c r="G170" s="47">
        <v>22</v>
      </c>
      <c r="H170" s="47">
        <v>555.94000000000005</v>
      </c>
      <c r="I170" s="47">
        <v>12230.68</v>
      </c>
      <c r="J170" s="47">
        <v>8059.97</v>
      </c>
    </row>
    <row r="171" spans="1:10" ht="15">
      <c r="A171" s="45">
        <v>170</v>
      </c>
      <c r="B171" s="46">
        <v>45802</v>
      </c>
      <c r="C171" s="45" t="s">
        <v>16</v>
      </c>
      <c r="D171" s="45" t="s">
        <v>14</v>
      </c>
      <c r="E171" s="45" t="s">
        <v>12</v>
      </c>
      <c r="F171" s="45" t="s">
        <v>18</v>
      </c>
      <c r="G171" s="47">
        <v>210</v>
      </c>
      <c r="H171" s="47">
        <v>379.47</v>
      </c>
      <c r="I171" s="47">
        <v>79688.7</v>
      </c>
      <c r="J171" s="47">
        <v>35313.370000000003</v>
      </c>
    </row>
    <row r="172" spans="1:10" ht="15">
      <c r="A172" s="45">
        <v>171</v>
      </c>
      <c r="B172" s="46">
        <v>45809</v>
      </c>
      <c r="C172" s="45" t="s">
        <v>16</v>
      </c>
      <c r="D172" s="45" t="s">
        <v>11</v>
      </c>
      <c r="E172" s="45" t="s">
        <v>12</v>
      </c>
      <c r="F172" s="45" t="s">
        <v>13</v>
      </c>
      <c r="G172" s="47">
        <v>67</v>
      </c>
      <c r="H172" s="47">
        <v>156.51</v>
      </c>
      <c r="I172" s="47">
        <v>10486.17</v>
      </c>
      <c r="J172" s="47">
        <v>4741.8599999999997</v>
      </c>
    </row>
    <row r="173" spans="1:10" ht="15">
      <c r="A173" s="45">
        <v>172</v>
      </c>
      <c r="B173" s="46">
        <v>45808</v>
      </c>
      <c r="C173" s="45" t="s">
        <v>22</v>
      </c>
      <c r="D173" s="45" t="s">
        <v>11</v>
      </c>
      <c r="E173" s="45" t="s">
        <v>12</v>
      </c>
      <c r="F173" s="45" t="s">
        <v>13</v>
      </c>
      <c r="G173" s="47">
        <v>40</v>
      </c>
      <c r="H173" s="47">
        <v>215.7</v>
      </c>
      <c r="I173" s="47">
        <v>8628</v>
      </c>
      <c r="J173" s="47">
        <v>4245.07</v>
      </c>
    </row>
    <row r="174" spans="1:10" ht="15">
      <c r="A174" s="45">
        <v>173</v>
      </c>
      <c r="B174" s="46">
        <v>45813</v>
      </c>
      <c r="C174" s="45" t="s">
        <v>22</v>
      </c>
      <c r="D174" s="45" t="s">
        <v>20</v>
      </c>
      <c r="E174" s="45" t="s">
        <v>24</v>
      </c>
      <c r="F174" s="45" t="s">
        <v>15</v>
      </c>
      <c r="G174" s="47">
        <v>20</v>
      </c>
      <c r="H174" s="47">
        <v>638.55999999999995</v>
      </c>
      <c r="I174" s="47">
        <v>12771.2</v>
      </c>
      <c r="J174" s="47">
        <v>9073.3799999999992</v>
      </c>
    </row>
    <row r="175" spans="1:10" ht="15">
      <c r="A175" s="45">
        <v>174</v>
      </c>
      <c r="B175" s="46">
        <v>45814</v>
      </c>
      <c r="C175" s="45" t="s">
        <v>22</v>
      </c>
      <c r="D175" s="45" t="s">
        <v>20</v>
      </c>
      <c r="E175" s="45" t="s">
        <v>24</v>
      </c>
      <c r="F175" s="45" t="s">
        <v>15</v>
      </c>
      <c r="G175" s="47">
        <v>173</v>
      </c>
      <c r="H175" s="47">
        <v>652.77</v>
      </c>
      <c r="I175" s="47">
        <v>112929.21</v>
      </c>
      <c r="J175" s="47">
        <v>79195.97</v>
      </c>
    </row>
    <row r="176" spans="1:10" ht="15">
      <c r="A176" s="45">
        <v>175</v>
      </c>
      <c r="B176" s="46">
        <v>45817</v>
      </c>
      <c r="C176" s="45" t="s">
        <v>19</v>
      </c>
      <c r="D176" s="45" t="s">
        <v>14</v>
      </c>
      <c r="E176" s="45" t="s">
        <v>21</v>
      </c>
      <c r="F176" s="45" t="s">
        <v>15</v>
      </c>
      <c r="G176" s="47">
        <v>195</v>
      </c>
      <c r="H176" s="47">
        <v>473.28</v>
      </c>
      <c r="I176" s="47">
        <v>92289.600000000006</v>
      </c>
      <c r="J176" s="47">
        <v>39388.86</v>
      </c>
    </row>
    <row r="177" spans="1:10" ht="15">
      <c r="A177" s="45">
        <v>176</v>
      </c>
      <c r="B177" s="46">
        <v>45820</v>
      </c>
      <c r="C177" s="45" t="s">
        <v>22</v>
      </c>
      <c r="D177" s="45" t="s">
        <v>23</v>
      </c>
      <c r="E177" s="45" t="s">
        <v>24</v>
      </c>
      <c r="F177" s="45" t="s">
        <v>13</v>
      </c>
      <c r="G177" s="47">
        <v>149</v>
      </c>
      <c r="H177" s="47">
        <v>380.68</v>
      </c>
      <c r="I177" s="47">
        <v>56721.32</v>
      </c>
      <c r="J177" s="47">
        <v>32305.16</v>
      </c>
    </row>
    <row r="178" spans="1:10" ht="15">
      <c r="A178" s="45">
        <v>177</v>
      </c>
      <c r="B178" s="46">
        <v>45823</v>
      </c>
      <c r="C178" s="45" t="s">
        <v>16</v>
      </c>
      <c r="D178" s="45" t="s">
        <v>20</v>
      </c>
      <c r="E178" s="45" t="s">
        <v>24</v>
      </c>
      <c r="F178" s="45" t="s">
        <v>13</v>
      </c>
      <c r="G178" s="47">
        <v>140</v>
      </c>
      <c r="H178" s="47">
        <v>552.73</v>
      </c>
      <c r="I178" s="47">
        <v>77382.2</v>
      </c>
      <c r="J178" s="47">
        <v>54449.760000000002</v>
      </c>
    </row>
    <row r="179" spans="1:10" ht="15">
      <c r="A179" s="45">
        <v>178</v>
      </c>
      <c r="B179" s="46">
        <v>45829</v>
      </c>
      <c r="C179" s="45" t="s">
        <v>22</v>
      </c>
      <c r="D179" s="45" t="s">
        <v>20</v>
      </c>
      <c r="E179" s="45" t="s">
        <v>17</v>
      </c>
      <c r="F179" s="45" t="s">
        <v>15</v>
      </c>
      <c r="G179" s="47">
        <v>69</v>
      </c>
      <c r="H179" s="47">
        <v>617.58000000000004</v>
      </c>
      <c r="I179" s="47">
        <v>42613.02</v>
      </c>
      <c r="J179" s="47">
        <v>28339.759999999998</v>
      </c>
    </row>
    <row r="180" spans="1:10" ht="15">
      <c r="A180" s="45">
        <v>179</v>
      </c>
      <c r="B180" s="46">
        <v>45830</v>
      </c>
      <c r="C180" s="45" t="s">
        <v>16</v>
      </c>
      <c r="D180" s="45" t="s">
        <v>14</v>
      </c>
      <c r="E180" s="45" t="s">
        <v>24</v>
      </c>
      <c r="F180" s="45" t="s">
        <v>18</v>
      </c>
      <c r="G180" s="47">
        <v>158</v>
      </c>
      <c r="H180" s="47">
        <v>459.73</v>
      </c>
      <c r="I180" s="47">
        <v>72637.34</v>
      </c>
      <c r="J180" s="47">
        <v>31293.3</v>
      </c>
    </row>
    <row r="181" spans="1:10" ht="15">
      <c r="A181" s="45">
        <v>180</v>
      </c>
      <c r="B181" s="46">
        <v>45834</v>
      </c>
      <c r="C181" s="45" t="s">
        <v>16</v>
      </c>
      <c r="D181" s="45" t="s">
        <v>11</v>
      </c>
      <c r="E181" s="45" t="s">
        <v>24</v>
      </c>
      <c r="F181" s="45" t="s">
        <v>18</v>
      </c>
      <c r="G181" s="47">
        <v>37</v>
      </c>
      <c r="H181" s="47">
        <v>200.5</v>
      </c>
      <c r="I181" s="47">
        <v>7418.5</v>
      </c>
      <c r="J181" s="47">
        <v>3649.76</v>
      </c>
    </row>
    <row r="182" spans="1:10" ht="15">
      <c r="A182" s="45">
        <v>181</v>
      </c>
      <c r="B182" s="46">
        <v>45837</v>
      </c>
      <c r="C182" s="45" t="s">
        <v>10</v>
      </c>
      <c r="D182" s="45" t="s">
        <v>20</v>
      </c>
      <c r="E182" s="45" t="s">
        <v>21</v>
      </c>
      <c r="F182" s="45" t="s">
        <v>15</v>
      </c>
      <c r="G182" s="47">
        <v>154</v>
      </c>
      <c r="H182" s="47">
        <v>683.03</v>
      </c>
      <c r="I182" s="47">
        <v>105186.62</v>
      </c>
      <c r="J182" s="47">
        <v>70964.66</v>
      </c>
    </row>
    <row r="183" spans="1:10" ht="15">
      <c r="A183" s="45">
        <v>182</v>
      </c>
      <c r="B183" s="46">
        <v>45839</v>
      </c>
      <c r="C183" s="45" t="s">
        <v>19</v>
      </c>
      <c r="D183" s="45" t="s">
        <v>23</v>
      </c>
      <c r="E183" s="45" t="s">
        <v>12</v>
      </c>
      <c r="F183" s="45" t="s">
        <v>15</v>
      </c>
      <c r="G183" s="47">
        <v>163</v>
      </c>
      <c r="H183" s="47">
        <v>239.93</v>
      </c>
      <c r="I183" s="47">
        <v>39108.589999999997</v>
      </c>
      <c r="J183" s="47">
        <v>20731.32</v>
      </c>
    </row>
    <row r="184" spans="1:10" ht="15">
      <c r="A184" s="45">
        <v>183</v>
      </c>
      <c r="B184" s="46">
        <v>45844</v>
      </c>
      <c r="C184" s="45" t="s">
        <v>22</v>
      </c>
      <c r="D184" s="45" t="s">
        <v>23</v>
      </c>
      <c r="E184" s="45" t="s">
        <v>24</v>
      </c>
      <c r="F184" s="45" t="s">
        <v>15</v>
      </c>
      <c r="G184" s="47">
        <v>191</v>
      </c>
      <c r="H184" s="47">
        <v>385.59</v>
      </c>
      <c r="I184" s="47">
        <v>73647.69</v>
      </c>
      <c r="J184" s="47">
        <v>41069.339999999997</v>
      </c>
    </row>
    <row r="185" spans="1:10" ht="15">
      <c r="A185" s="45">
        <v>184</v>
      </c>
      <c r="B185" s="46">
        <v>45845</v>
      </c>
      <c r="C185" s="45" t="s">
        <v>22</v>
      </c>
      <c r="D185" s="45" t="s">
        <v>11</v>
      </c>
      <c r="E185" s="45" t="s">
        <v>17</v>
      </c>
      <c r="F185" s="45" t="s">
        <v>18</v>
      </c>
      <c r="G185" s="47">
        <v>64</v>
      </c>
      <c r="H185" s="47">
        <v>206.86</v>
      </c>
      <c r="I185" s="47">
        <v>13239.04</v>
      </c>
      <c r="J185" s="47">
        <v>6607.05</v>
      </c>
    </row>
    <row r="186" spans="1:10" ht="15">
      <c r="A186" s="45">
        <v>185</v>
      </c>
      <c r="B186" s="46">
        <v>45851</v>
      </c>
      <c r="C186" s="45" t="s">
        <v>10</v>
      </c>
      <c r="D186" s="45" t="s">
        <v>23</v>
      </c>
      <c r="E186" s="45" t="s">
        <v>17</v>
      </c>
      <c r="F186" s="45" t="s">
        <v>18</v>
      </c>
      <c r="G186" s="47">
        <v>98</v>
      </c>
      <c r="H186" s="47">
        <v>325.11</v>
      </c>
      <c r="I186" s="47">
        <v>31860.78</v>
      </c>
      <c r="J186" s="47">
        <v>17289.61</v>
      </c>
    </row>
    <row r="187" spans="1:10" ht="15">
      <c r="A187" s="45">
        <v>186</v>
      </c>
      <c r="B187" s="46">
        <v>45851</v>
      </c>
      <c r="C187" s="45" t="s">
        <v>22</v>
      </c>
      <c r="D187" s="45" t="s">
        <v>23</v>
      </c>
      <c r="E187" s="45" t="s">
        <v>21</v>
      </c>
      <c r="F187" s="45" t="s">
        <v>18</v>
      </c>
      <c r="G187" s="47">
        <v>41</v>
      </c>
      <c r="H187" s="47">
        <v>423.37</v>
      </c>
      <c r="I187" s="47">
        <v>17358.169999999998</v>
      </c>
      <c r="J187" s="47">
        <v>9768.5400000000009</v>
      </c>
    </row>
    <row r="188" spans="1:10" ht="15">
      <c r="A188" s="45">
        <v>187</v>
      </c>
      <c r="B188" s="46">
        <v>45854</v>
      </c>
      <c r="C188" s="45" t="s">
        <v>19</v>
      </c>
      <c r="D188" s="45" t="s">
        <v>23</v>
      </c>
      <c r="E188" s="45" t="s">
        <v>17</v>
      </c>
      <c r="F188" s="45" t="s">
        <v>15</v>
      </c>
      <c r="G188" s="47">
        <v>202</v>
      </c>
      <c r="H188" s="47">
        <v>272.45</v>
      </c>
      <c r="I188" s="47">
        <v>55034.9</v>
      </c>
      <c r="J188" s="47">
        <v>29597.68</v>
      </c>
    </row>
    <row r="189" spans="1:10" ht="15">
      <c r="A189" s="45">
        <v>188</v>
      </c>
      <c r="B189" s="46">
        <v>45856</v>
      </c>
      <c r="C189" s="45" t="s">
        <v>16</v>
      </c>
      <c r="D189" s="45" t="s">
        <v>20</v>
      </c>
      <c r="E189" s="45" t="s">
        <v>17</v>
      </c>
      <c r="F189" s="45" t="s">
        <v>15</v>
      </c>
      <c r="G189" s="47">
        <v>133</v>
      </c>
      <c r="H189" s="47">
        <v>472.82</v>
      </c>
      <c r="I189" s="47">
        <v>62885.06</v>
      </c>
      <c r="J189" s="47">
        <v>42506.3</v>
      </c>
    </row>
    <row r="190" spans="1:10" ht="15">
      <c r="A190" s="45">
        <v>189</v>
      </c>
      <c r="B190" s="46">
        <v>45862</v>
      </c>
      <c r="C190" s="45" t="s">
        <v>10</v>
      </c>
      <c r="D190" s="45" t="s">
        <v>20</v>
      </c>
      <c r="E190" s="45" t="s">
        <v>24</v>
      </c>
      <c r="F190" s="45" t="s">
        <v>13</v>
      </c>
      <c r="G190" s="47">
        <v>51</v>
      </c>
      <c r="H190" s="47">
        <v>557.04</v>
      </c>
      <c r="I190" s="47">
        <v>28409.040000000001</v>
      </c>
      <c r="J190" s="47">
        <v>19829.099999999999</v>
      </c>
    </row>
    <row r="191" spans="1:10" ht="15">
      <c r="A191" s="45">
        <v>190</v>
      </c>
      <c r="B191" s="46">
        <v>45862</v>
      </c>
      <c r="C191" s="45" t="s">
        <v>10</v>
      </c>
      <c r="D191" s="45" t="s">
        <v>11</v>
      </c>
      <c r="E191" s="45" t="s">
        <v>24</v>
      </c>
      <c r="F191" s="45" t="s">
        <v>13</v>
      </c>
      <c r="G191" s="47">
        <v>185</v>
      </c>
      <c r="H191" s="47">
        <v>218.78</v>
      </c>
      <c r="I191" s="47">
        <v>40474.300000000003</v>
      </c>
      <c r="J191" s="47">
        <v>20528.77</v>
      </c>
    </row>
    <row r="192" spans="1:10" ht="15">
      <c r="A192" s="45">
        <v>191</v>
      </c>
      <c r="B192" s="46">
        <v>45869</v>
      </c>
      <c r="C192" s="45" t="s">
        <v>10</v>
      </c>
      <c r="D192" s="45" t="s">
        <v>23</v>
      </c>
      <c r="E192" s="45" t="s">
        <v>12</v>
      </c>
      <c r="F192" s="45" t="s">
        <v>15</v>
      </c>
      <c r="G192" s="47">
        <v>125</v>
      </c>
      <c r="H192" s="47">
        <v>276.11</v>
      </c>
      <c r="I192" s="47">
        <v>34513.75</v>
      </c>
      <c r="J192" s="47">
        <v>19356.62</v>
      </c>
    </row>
    <row r="193" spans="1:10" ht="15">
      <c r="A193" s="45">
        <v>192</v>
      </c>
      <c r="B193" s="46">
        <v>45868</v>
      </c>
      <c r="C193" s="45" t="s">
        <v>19</v>
      </c>
      <c r="D193" s="45" t="s">
        <v>23</v>
      </c>
      <c r="E193" s="45" t="s">
        <v>24</v>
      </c>
      <c r="F193" s="45" t="s">
        <v>18</v>
      </c>
      <c r="G193" s="47">
        <v>197</v>
      </c>
      <c r="H193" s="47">
        <v>303.99</v>
      </c>
      <c r="I193" s="47">
        <v>59886.03</v>
      </c>
      <c r="J193" s="47">
        <v>32114.12</v>
      </c>
    </row>
    <row r="194" spans="1:10" ht="15">
      <c r="A194" s="45">
        <v>193</v>
      </c>
      <c r="B194" s="46">
        <v>45874</v>
      </c>
      <c r="C194" s="45" t="s">
        <v>19</v>
      </c>
      <c r="D194" s="45" t="s">
        <v>11</v>
      </c>
      <c r="E194" s="45" t="s">
        <v>12</v>
      </c>
      <c r="F194" s="45" t="s">
        <v>18</v>
      </c>
      <c r="G194" s="47">
        <v>119</v>
      </c>
      <c r="H194" s="47">
        <v>146.94</v>
      </c>
      <c r="I194" s="47">
        <v>17485.86</v>
      </c>
      <c r="J194" s="47">
        <v>8620.0300000000007</v>
      </c>
    </row>
    <row r="195" spans="1:10" ht="15">
      <c r="A195" s="45">
        <v>194</v>
      </c>
      <c r="B195" s="46">
        <v>45875</v>
      </c>
      <c r="C195" s="45" t="s">
        <v>22</v>
      </c>
      <c r="D195" s="45" t="s">
        <v>14</v>
      </c>
      <c r="E195" s="45" t="s">
        <v>24</v>
      </c>
      <c r="F195" s="45" t="s">
        <v>15</v>
      </c>
      <c r="G195" s="47">
        <v>42</v>
      </c>
      <c r="H195" s="47">
        <v>476.93</v>
      </c>
      <c r="I195" s="47">
        <v>20031.060000000001</v>
      </c>
      <c r="J195" s="47">
        <v>8519.58</v>
      </c>
    </row>
    <row r="196" spans="1:10" ht="15">
      <c r="A196" s="45">
        <v>195</v>
      </c>
      <c r="B196" s="46">
        <v>45878</v>
      </c>
      <c r="C196" s="45" t="s">
        <v>10</v>
      </c>
      <c r="D196" s="45" t="s">
        <v>20</v>
      </c>
      <c r="E196" s="45" t="s">
        <v>12</v>
      </c>
      <c r="F196" s="45" t="s">
        <v>18</v>
      </c>
      <c r="G196" s="47">
        <v>131</v>
      </c>
      <c r="H196" s="47">
        <v>452.6</v>
      </c>
      <c r="I196" s="47">
        <v>59290.6</v>
      </c>
      <c r="J196" s="47">
        <v>41303.269999999997</v>
      </c>
    </row>
    <row r="197" spans="1:10" ht="15">
      <c r="A197" s="45">
        <v>196</v>
      </c>
      <c r="B197" s="46">
        <v>45884</v>
      </c>
      <c r="C197" s="45" t="s">
        <v>16</v>
      </c>
      <c r="D197" s="45" t="s">
        <v>20</v>
      </c>
      <c r="E197" s="45" t="s">
        <v>21</v>
      </c>
      <c r="F197" s="45" t="s">
        <v>15</v>
      </c>
      <c r="G197" s="47">
        <v>204</v>
      </c>
      <c r="H197" s="47">
        <v>604.71</v>
      </c>
      <c r="I197" s="47">
        <v>123360.84</v>
      </c>
      <c r="J197" s="47">
        <v>81869.14</v>
      </c>
    </row>
    <row r="198" spans="1:10" ht="15">
      <c r="A198" s="45">
        <v>197</v>
      </c>
      <c r="B198" s="46">
        <v>45884</v>
      </c>
      <c r="C198" s="45" t="s">
        <v>19</v>
      </c>
      <c r="D198" s="45" t="s">
        <v>14</v>
      </c>
      <c r="E198" s="45" t="s">
        <v>21</v>
      </c>
      <c r="F198" s="45" t="s">
        <v>18</v>
      </c>
      <c r="G198" s="47">
        <v>29</v>
      </c>
      <c r="H198" s="47">
        <v>446.72</v>
      </c>
      <c r="I198" s="47">
        <v>12954.88</v>
      </c>
      <c r="J198" s="47">
        <v>5373.94</v>
      </c>
    </row>
    <row r="199" spans="1:10" ht="15">
      <c r="A199" s="45">
        <v>198</v>
      </c>
      <c r="B199" s="46">
        <v>45886</v>
      </c>
      <c r="C199" s="45" t="s">
        <v>16</v>
      </c>
      <c r="D199" s="45" t="s">
        <v>14</v>
      </c>
      <c r="E199" s="45" t="s">
        <v>24</v>
      </c>
      <c r="F199" s="45" t="s">
        <v>15</v>
      </c>
      <c r="G199" s="47">
        <v>175</v>
      </c>
      <c r="H199" s="47">
        <v>425.4</v>
      </c>
      <c r="I199" s="47">
        <v>74445</v>
      </c>
      <c r="J199" s="47">
        <v>30737.46</v>
      </c>
    </row>
    <row r="200" spans="1:10" ht="15">
      <c r="A200" s="45">
        <v>199</v>
      </c>
      <c r="B200" s="46">
        <v>45891</v>
      </c>
      <c r="C200" s="45" t="s">
        <v>16</v>
      </c>
      <c r="D200" s="45" t="s">
        <v>23</v>
      </c>
      <c r="E200" s="45" t="s">
        <v>21</v>
      </c>
      <c r="F200" s="45" t="s">
        <v>18</v>
      </c>
      <c r="G200" s="47">
        <v>117</v>
      </c>
      <c r="H200" s="47">
        <v>373.61</v>
      </c>
      <c r="I200" s="47">
        <v>43712.37</v>
      </c>
      <c r="J200" s="47">
        <v>24228.02</v>
      </c>
    </row>
    <row r="201" spans="1:10" ht="15">
      <c r="A201" s="45">
        <v>200</v>
      </c>
      <c r="B201" s="46">
        <v>45893</v>
      </c>
      <c r="C201" s="45" t="s">
        <v>19</v>
      </c>
      <c r="D201" s="45" t="s">
        <v>11</v>
      </c>
      <c r="E201" s="45" t="s">
        <v>17</v>
      </c>
      <c r="F201" s="45" t="s">
        <v>13</v>
      </c>
      <c r="G201" s="47">
        <v>48</v>
      </c>
      <c r="H201" s="47">
        <v>181.69</v>
      </c>
      <c r="I201" s="47">
        <v>8721.1200000000008</v>
      </c>
      <c r="J201" s="47">
        <v>3963.56</v>
      </c>
    </row>
    <row r="202" spans="1:10" ht="15">
      <c r="A202" s="45">
        <v>201</v>
      </c>
      <c r="B202" s="46">
        <v>45896</v>
      </c>
      <c r="C202" s="45" t="s">
        <v>19</v>
      </c>
      <c r="D202" s="45" t="s">
        <v>23</v>
      </c>
      <c r="E202" s="45" t="s">
        <v>17</v>
      </c>
      <c r="F202" s="45" t="s">
        <v>15</v>
      </c>
      <c r="G202" s="47">
        <v>185</v>
      </c>
      <c r="H202" s="47">
        <v>276.20999999999998</v>
      </c>
      <c r="I202" s="47">
        <v>51098.85</v>
      </c>
      <c r="J202" s="47">
        <v>29290.78</v>
      </c>
    </row>
    <row r="203" spans="1:10" ht="15">
      <c r="A203" s="45">
        <v>202</v>
      </c>
      <c r="B203" s="46">
        <v>45901</v>
      </c>
      <c r="C203" s="45" t="s">
        <v>19</v>
      </c>
      <c r="D203" s="45" t="s">
        <v>20</v>
      </c>
      <c r="E203" s="45" t="s">
        <v>17</v>
      </c>
      <c r="F203" s="45" t="s">
        <v>15</v>
      </c>
      <c r="G203" s="47">
        <v>105</v>
      </c>
      <c r="H203" s="47">
        <v>451.26</v>
      </c>
      <c r="I203" s="47">
        <v>47382.3</v>
      </c>
      <c r="J203" s="47">
        <v>31508.26</v>
      </c>
    </row>
    <row r="204" spans="1:10" ht="15">
      <c r="A204" s="45">
        <v>203</v>
      </c>
      <c r="B204" s="46">
        <v>45904</v>
      </c>
      <c r="C204" s="45" t="s">
        <v>22</v>
      </c>
      <c r="D204" s="45" t="s">
        <v>11</v>
      </c>
      <c r="E204" s="45" t="s">
        <v>17</v>
      </c>
      <c r="F204" s="45" t="s">
        <v>15</v>
      </c>
      <c r="G204" s="47">
        <v>15</v>
      </c>
      <c r="H204" s="47">
        <v>217.26</v>
      </c>
      <c r="I204" s="47">
        <v>3258.9</v>
      </c>
      <c r="J204" s="47">
        <v>1635.74</v>
      </c>
    </row>
    <row r="205" spans="1:10" ht="15">
      <c r="A205" s="45">
        <v>204</v>
      </c>
      <c r="B205" s="46">
        <v>45906</v>
      </c>
      <c r="C205" s="45" t="s">
        <v>10</v>
      </c>
      <c r="D205" s="45" t="s">
        <v>20</v>
      </c>
      <c r="E205" s="45" t="s">
        <v>21</v>
      </c>
      <c r="F205" s="45" t="s">
        <v>15</v>
      </c>
      <c r="G205" s="47">
        <v>139</v>
      </c>
      <c r="H205" s="47">
        <v>625.78</v>
      </c>
      <c r="I205" s="47">
        <v>86983.42</v>
      </c>
      <c r="J205" s="47">
        <v>60142.47</v>
      </c>
    </row>
    <row r="206" spans="1:10" ht="15">
      <c r="A206" s="45">
        <v>205</v>
      </c>
      <c r="B206" s="46">
        <v>45909</v>
      </c>
      <c r="C206" s="45" t="s">
        <v>10</v>
      </c>
      <c r="D206" s="45" t="s">
        <v>20</v>
      </c>
      <c r="E206" s="45" t="s">
        <v>24</v>
      </c>
      <c r="F206" s="45" t="s">
        <v>13</v>
      </c>
      <c r="G206" s="47">
        <v>36</v>
      </c>
      <c r="H206" s="47">
        <v>554.01</v>
      </c>
      <c r="I206" s="47">
        <v>19944.36</v>
      </c>
      <c r="J206" s="47">
        <v>14138.11</v>
      </c>
    </row>
    <row r="207" spans="1:10" ht="15">
      <c r="A207" s="45">
        <v>206</v>
      </c>
      <c r="B207" s="46">
        <v>45911</v>
      </c>
      <c r="C207" s="45" t="s">
        <v>22</v>
      </c>
      <c r="D207" s="45" t="s">
        <v>14</v>
      </c>
      <c r="E207" s="45" t="s">
        <v>12</v>
      </c>
      <c r="F207" s="45" t="s">
        <v>13</v>
      </c>
      <c r="G207" s="47">
        <v>33</v>
      </c>
      <c r="H207" s="47">
        <v>406.85</v>
      </c>
      <c r="I207" s="47">
        <v>13426.05</v>
      </c>
      <c r="J207" s="47">
        <v>5454.36</v>
      </c>
    </row>
    <row r="208" spans="1:10" ht="15">
      <c r="A208" s="45">
        <v>207</v>
      </c>
      <c r="B208" s="46">
        <v>45913</v>
      </c>
      <c r="C208" s="45" t="s">
        <v>10</v>
      </c>
      <c r="D208" s="45" t="s">
        <v>23</v>
      </c>
      <c r="E208" s="45" t="s">
        <v>17</v>
      </c>
      <c r="F208" s="45" t="s">
        <v>15</v>
      </c>
      <c r="G208" s="47">
        <v>103</v>
      </c>
      <c r="H208" s="47">
        <v>318.27</v>
      </c>
      <c r="I208" s="47">
        <v>32781.81</v>
      </c>
      <c r="J208" s="47">
        <v>17490.900000000001</v>
      </c>
    </row>
    <row r="209" spans="1:10" ht="15">
      <c r="A209" s="45">
        <v>208</v>
      </c>
      <c r="B209" s="46">
        <v>45919</v>
      </c>
      <c r="C209" s="45" t="s">
        <v>10</v>
      </c>
      <c r="D209" s="45" t="s">
        <v>14</v>
      </c>
      <c r="E209" s="45" t="s">
        <v>21</v>
      </c>
      <c r="F209" s="45" t="s">
        <v>13</v>
      </c>
      <c r="G209" s="47">
        <v>141</v>
      </c>
      <c r="H209" s="47">
        <v>524.41</v>
      </c>
      <c r="I209" s="47">
        <v>73941.81</v>
      </c>
      <c r="J209" s="47">
        <v>31388.42</v>
      </c>
    </row>
    <row r="210" spans="1:10" ht="15">
      <c r="A210" s="45">
        <v>209</v>
      </c>
      <c r="B210" s="46">
        <v>45922</v>
      </c>
      <c r="C210" s="45" t="s">
        <v>16</v>
      </c>
      <c r="D210" s="45" t="s">
        <v>14</v>
      </c>
      <c r="E210" s="45" t="s">
        <v>21</v>
      </c>
      <c r="F210" s="45" t="s">
        <v>15</v>
      </c>
      <c r="G210" s="47">
        <v>74</v>
      </c>
      <c r="H210" s="47">
        <v>490.91</v>
      </c>
      <c r="I210" s="47">
        <v>36327.339999999997</v>
      </c>
      <c r="J210" s="47">
        <v>15285.12</v>
      </c>
    </row>
    <row r="211" spans="1:10" ht="15">
      <c r="A211" s="45">
        <v>210</v>
      </c>
      <c r="B211" s="46">
        <v>45926</v>
      </c>
      <c r="C211" s="45" t="s">
        <v>16</v>
      </c>
      <c r="D211" s="45" t="s">
        <v>11</v>
      </c>
      <c r="E211" s="45" t="s">
        <v>24</v>
      </c>
      <c r="F211" s="45" t="s">
        <v>13</v>
      </c>
      <c r="G211" s="47">
        <v>194</v>
      </c>
      <c r="H211" s="47">
        <v>186.73</v>
      </c>
      <c r="I211" s="47">
        <v>36225.620000000003</v>
      </c>
      <c r="J211" s="47">
        <v>17474.57</v>
      </c>
    </row>
    <row r="212" spans="1:10" ht="15">
      <c r="A212" s="45">
        <v>211</v>
      </c>
      <c r="B212" s="46">
        <v>45929</v>
      </c>
      <c r="C212" s="45" t="s">
        <v>16</v>
      </c>
      <c r="D212" s="45" t="s">
        <v>23</v>
      </c>
      <c r="E212" s="45" t="s">
        <v>21</v>
      </c>
      <c r="F212" s="45" t="s">
        <v>15</v>
      </c>
      <c r="G212" s="47">
        <v>193</v>
      </c>
      <c r="H212" s="47">
        <v>355.9</v>
      </c>
      <c r="I212" s="47">
        <v>68688.7</v>
      </c>
      <c r="J212" s="47">
        <v>38688.53</v>
      </c>
    </row>
    <row r="213" spans="1:10" ht="15">
      <c r="A213" s="45">
        <v>212</v>
      </c>
      <c r="B213" s="46">
        <v>45931</v>
      </c>
      <c r="C213" s="45" t="s">
        <v>22</v>
      </c>
      <c r="D213" s="45" t="s">
        <v>11</v>
      </c>
      <c r="E213" s="45" t="s">
        <v>24</v>
      </c>
      <c r="F213" s="45" t="s">
        <v>18</v>
      </c>
      <c r="G213" s="47">
        <v>34</v>
      </c>
      <c r="H213" s="47">
        <v>211.77</v>
      </c>
      <c r="I213" s="47">
        <v>7200.18</v>
      </c>
      <c r="J213" s="47">
        <v>3408.74</v>
      </c>
    </row>
    <row r="214" spans="1:10" ht="15">
      <c r="A214" s="45">
        <v>213</v>
      </c>
      <c r="B214" s="46">
        <v>45931</v>
      </c>
      <c r="C214" s="45" t="s">
        <v>16</v>
      </c>
      <c r="D214" s="45" t="s">
        <v>14</v>
      </c>
      <c r="E214" s="45" t="s">
        <v>21</v>
      </c>
      <c r="F214" s="45" t="s">
        <v>13</v>
      </c>
      <c r="G214" s="47">
        <v>145</v>
      </c>
      <c r="H214" s="47">
        <v>484.15</v>
      </c>
      <c r="I214" s="47">
        <v>70201.75</v>
      </c>
      <c r="J214" s="47">
        <v>30833.74</v>
      </c>
    </row>
    <row r="215" spans="1:10" ht="15">
      <c r="A215" s="45">
        <v>214</v>
      </c>
      <c r="B215" s="46">
        <v>45935</v>
      </c>
      <c r="C215" s="45" t="s">
        <v>16</v>
      </c>
      <c r="D215" s="45" t="s">
        <v>23</v>
      </c>
      <c r="E215" s="45" t="s">
        <v>24</v>
      </c>
      <c r="F215" s="45" t="s">
        <v>18</v>
      </c>
      <c r="G215" s="47">
        <v>47</v>
      </c>
      <c r="H215" s="47">
        <v>302.91000000000003</v>
      </c>
      <c r="I215" s="47">
        <v>14236.77</v>
      </c>
      <c r="J215" s="47">
        <v>8200.52</v>
      </c>
    </row>
    <row r="216" spans="1:10" ht="15">
      <c r="A216" s="45">
        <v>215</v>
      </c>
      <c r="B216" s="46">
        <v>45939</v>
      </c>
      <c r="C216" s="45" t="s">
        <v>22</v>
      </c>
      <c r="D216" s="45" t="s">
        <v>11</v>
      </c>
      <c r="E216" s="45" t="s">
        <v>17</v>
      </c>
      <c r="F216" s="45" t="s">
        <v>15</v>
      </c>
      <c r="G216" s="47">
        <v>126</v>
      </c>
      <c r="H216" s="47">
        <v>202.98</v>
      </c>
      <c r="I216" s="47">
        <v>25575.48</v>
      </c>
      <c r="J216" s="47">
        <v>11927.18</v>
      </c>
    </row>
    <row r="217" spans="1:10" ht="15">
      <c r="A217" s="45">
        <v>216</v>
      </c>
      <c r="B217" s="46">
        <v>45940</v>
      </c>
      <c r="C217" s="45" t="s">
        <v>22</v>
      </c>
      <c r="D217" s="45" t="s">
        <v>20</v>
      </c>
      <c r="E217" s="45" t="s">
        <v>21</v>
      </c>
      <c r="F217" s="45" t="s">
        <v>15</v>
      </c>
      <c r="G217" s="47">
        <v>118</v>
      </c>
      <c r="H217" s="47">
        <v>688.55</v>
      </c>
      <c r="I217" s="47">
        <v>81248.899999999994</v>
      </c>
      <c r="J217" s="47">
        <v>58009.98</v>
      </c>
    </row>
    <row r="218" spans="1:10" ht="15">
      <c r="A218" s="45">
        <v>217</v>
      </c>
      <c r="B218" s="46">
        <v>45947</v>
      </c>
      <c r="C218" s="45" t="s">
        <v>22</v>
      </c>
      <c r="D218" s="45" t="s">
        <v>23</v>
      </c>
      <c r="E218" s="45" t="s">
        <v>24</v>
      </c>
      <c r="F218" s="45" t="s">
        <v>13</v>
      </c>
      <c r="G218" s="47">
        <v>99</v>
      </c>
      <c r="H218" s="47">
        <v>353.21</v>
      </c>
      <c r="I218" s="47">
        <v>34967.79</v>
      </c>
      <c r="J218" s="47">
        <v>19804.240000000002</v>
      </c>
    </row>
    <row r="219" spans="1:10" ht="15">
      <c r="A219" s="45">
        <v>218</v>
      </c>
      <c r="B219" s="46">
        <v>45947</v>
      </c>
      <c r="C219" s="45" t="s">
        <v>16</v>
      </c>
      <c r="D219" s="45" t="s">
        <v>14</v>
      </c>
      <c r="E219" s="45" t="s">
        <v>24</v>
      </c>
      <c r="F219" s="45" t="s">
        <v>18</v>
      </c>
      <c r="G219" s="47">
        <v>156</v>
      </c>
      <c r="H219" s="47">
        <v>432.15</v>
      </c>
      <c r="I219" s="47">
        <v>67415.399999999994</v>
      </c>
      <c r="J219" s="47">
        <v>28681.95</v>
      </c>
    </row>
    <row r="220" spans="1:10" ht="15">
      <c r="A220" s="45">
        <v>219</v>
      </c>
      <c r="B220" s="46">
        <v>45949</v>
      </c>
      <c r="C220" s="45" t="s">
        <v>19</v>
      </c>
      <c r="D220" s="45" t="s">
        <v>20</v>
      </c>
      <c r="E220" s="45" t="s">
        <v>12</v>
      </c>
      <c r="F220" s="45" t="s">
        <v>13</v>
      </c>
      <c r="G220" s="47">
        <v>26</v>
      </c>
      <c r="H220" s="47">
        <v>381.48</v>
      </c>
      <c r="I220" s="47">
        <v>9918.48</v>
      </c>
      <c r="J220" s="47">
        <v>7041.06</v>
      </c>
    </row>
    <row r="221" spans="1:10" ht="15">
      <c r="A221" s="45">
        <v>220</v>
      </c>
      <c r="B221" s="46">
        <v>45956</v>
      </c>
      <c r="C221" s="45" t="s">
        <v>16</v>
      </c>
      <c r="D221" s="45" t="s">
        <v>11</v>
      </c>
      <c r="E221" s="45" t="s">
        <v>17</v>
      </c>
      <c r="F221" s="45" t="s">
        <v>18</v>
      </c>
      <c r="G221" s="47">
        <v>187</v>
      </c>
      <c r="H221" s="47">
        <v>183.91</v>
      </c>
      <c r="I221" s="47">
        <v>34391.17</v>
      </c>
      <c r="J221" s="47">
        <v>16809.03</v>
      </c>
    </row>
    <row r="222" spans="1:10" ht="15">
      <c r="A222" s="45">
        <v>221</v>
      </c>
      <c r="B222" s="46">
        <v>45955</v>
      </c>
      <c r="C222" s="45" t="s">
        <v>10</v>
      </c>
      <c r="D222" s="45" t="s">
        <v>14</v>
      </c>
      <c r="E222" s="45" t="s">
        <v>24</v>
      </c>
      <c r="F222" s="45" t="s">
        <v>18</v>
      </c>
      <c r="G222" s="47">
        <v>210</v>
      </c>
      <c r="H222" s="47">
        <v>439.99</v>
      </c>
      <c r="I222" s="47">
        <v>92397.9</v>
      </c>
      <c r="J222" s="47">
        <v>40020.79</v>
      </c>
    </row>
    <row r="223" spans="1:10" ht="15">
      <c r="A223" s="45">
        <v>222</v>
      </c>
      <c r="B223" s="46">
        <v>45958</v>
      </c>
      <c r="C223" s="45" t="s">
        <v>19</v>
      </c>
      <c r="D223" s="45" t="s">
        <v>14</v>
      </c>
      <c r="E223" s="45" t="s">
        <v>12</v>
      </c>
      <c r="F223" s="45" t="s">
        <v>15</v>
      </c>
      <c r="G223" s="47">
        <v>50</v>
      </c>
      <c r="H223" s="47">
        <v>333.67</v>
      </c>
      <c r="I223" s="47">
        <v>16683.5</v>
      </c>
      <c r="J223" s="47">
        <v>7116.12</v>
      </c>
    </row>
    <row r="224" spans="1:10" ht="15">
      <c r="A224" s="45">
        <v>223</v>
      </c>
      <c r="B224" s="46">
        <v>45963</v>
      </c>
      <c r="C224" s="45" t="s">
        <v>22</v>
      </c>
      <c r="D224" s="45" t="s">
        <v>23</v>
      </c>
      <c r="E224" s="45" t="s">
        <v>24</v>
      </c>
      <c r="F224" s="45" t="s">
        <v>13</v>
      </c>
      <c r="G224" s="47">
        <v>96</v>
      </c>
      <c r="H224" s="47">
        <v>358.48</v>
      </c>
      <c r="I224" s="47">
        <v>34414.080000000002</v>
      </c>
      <c r="J224" s="47">
        <v>19162.16</v>
      </c>
    </row>
    <row r="225" spans="1:10" ht="15">
      <c r="A225" s="45">
        <v>224</v>
      </c>
      <c r="B225" s="46">
        <v>45968</v>
      </c>
      <c r="C225" s="45" t="s">
        <v>16</v>
      </c>
      <c r="D225" s="45" t="s">
        <v>11</v>
      </c>
      <c r="E225" s="45" t="s">
        <v>12</v>
      </c>
      <c r="F225" s="45" t="s">
        <v>13</v>
      </c>
      <c r="G225" s="47">
        <v>213</v>
      </c>
      <c r="H225" s="47">
        <v>171.68</v>
      </c>
      <c r="I225" s="47">
        <v>36567.839999999997</v>
      </c>
      <c r="J225" s="47">
        <v>17823.009999999998</v>
      </c>
    </row>
    <row r="226" spans="1:10" ht="15">
      <c r="A226" s="45">
        <v>225</v>
      </c>
      <c r="B226" s="46">
        <v>45970</v>
      </c>
      <c r="C226" s="45" t="s">
        <v>19</v>
      </c>
      <c r="D226" s="45" t="s">
        <v>14</v>
      </c>
      <c r="E226" s="45" t="s">
        <v>12</v>
      </c>
      <c r="F226" s="45" t="s">
        <v>18</v>
      </c>
      <c r="G226" s="47">
        <v>114</v>
      </c>
      <c r="H226" s="47">
        <v>336.91</v>
      </c>
      <c r="I226" s="47">
        <v>38407.74</v>
      </c>
      <c r="J226" s="47">
        <v>17458.36</v>
      </c>
    </row>
    <row r="227" spans="1:10" ht="15">
      <c r="A227" s="45">
        <v>226</v>
      </c>
      <c r="B227" s="46">
        <v>45971</v>
      </c>
      <c r="C227" s="45" t="s">
        <v>19</v>
      </c>
      <c r="D227" s="45" t="s">
        <v>11</v>
      </c>
      <c r="E227" s="45" t="s">
        <v>12</v>
      </c>
      <c r="F227" s="45" t="s">
        <v>13</v>
      </c>
      <c r="G227" s="47">
        <v>179</v>
      </c>
      <c r="H227" s="47">
        <v>149.88</v>
      </c>
      <c r="I227" s="47">
        <v>26828.52</v>
      </c>
      <c r="J227" s="47">
        <v>13634.93</v>
      </c>
    </row>
    <row r="228" spans="1:10" ht="15">
      <c r="A228" s="45">
        <v>227</v>
      </c>
      <c r="B228" s="46">
        <v>45973</v>
      </c>
      <c r="C228" s="45" t="s">
        <v>19</v>
      </c>
      <c r="D228" s="45" t="s">
        <v>14</v>
      </c>
      <c r="E228" s="45" t="s">
        <v>12</v>
      </c>
      <c r="F228" s="45" t="s">
        <v>18</v>
      </c>
      <c r="G228" s="47">
        <v>186</v>
      </c>
      <c r="H228" s="47">
        <v>319.91000000000003</v>
      </c>
      <c r="I228" s="47">
        <v>59503.26</v>
      </c>
      <c r="J228" s="47">
        <v>26943.83</v>
      </c>
    </row>
    <row r="229" spans="1:10" ht="15">
      <c r="A229" s="45">
        <v>228</v>
      </c>
      <c r="B229" s="46">
        <v>45976</v>
      </c>
      <c r="C229" s="45" t="s">
        <v>10</v>
      </c>
      <c r="D229" s="45" t="s">
        <v>14</v>
      </c>
      <c r="E229" s="45" t="s">
        <v>17</v>
      </c>
      <c r="F229" s="45" t="s">
        <v>15</v>
      </c>
      <c r="G229" s="47">
        <v>19</v>
      </c>
      <c r="H229" s="47">
        <v>427.37</v>
      </c>
      <c r="I229" s="47">
        <v>8120.03</v>
      </c>
      <c r="J229" s="47">
        <v>3467.13</v>
      </c>
    </row>
    <row r="230" spans="1:10" ht="15">
      <c r="A230" s="45">
        <v>229</v>
      </c>
      <c r="B230" s="46">
        <v>45982</v>
      </c>
      <c r="C230" s="45" t="s">
        <v>10</v>
      </c>
      <c r="D230" s="45" t="s">
        <v>14</v>
      </c>
      <c r="E230" s="45" t="s">
        <v>21</v>
      </c>
      <c r="F230" s="45" t="s">
        <v>18</v>
      </c>
      <c r="G230" s="47">
        <v>197</v>
      </c>
      <c r="H230" s="47">
        <v>546.98</v>
      </c>
      <c r="I230" s="47">
        <v>107755.06</v>
      </c>
      <c r="J230" s="47">
        <v>43038.66</v>
      </c>
    </row>
    <row r="231" spans="1:10" ht="15">
      <c r="A231" s="45">
        <v>230</v>
      </c>
      <c r="B231" s="46">
        <v>45982</v>
      </c>
      <c r="C231" s="45" t="s">
        <v>22</v>
      </c>
      <c r="D231" s="45" t="s">
        <v>11</v>
      </c>
      <c r="E231" s="45" t="s">
        <v>24</v>
      </c>
      <c r="F231" s="45" t="s">
        <v>18</v>
      </c>
      <c r="G231" s="47">
        <v>80</v>
      </c>
      <c r="H231" s="47">
        <v>245.19</v>
      </c>
      <c r="I231" s="47">
        <v>19615.2</v>
      </c>
      <c r="J231" s="47">
        <v>8893.98</v>
      </c>
    </row>
    <row r="232" spans="1:10" ht="15">
      <c r="A232" s="45">
        <v>231</v>
      </c>
      <c r="B232" s="46">
        <v>45985</v>
      </c>
      <c r="C232" s="45" t="s">
        <v>16</v>
      </c>
      <c r="D232" s="45" t="s">
        <v>14</v>
      </c>
      <c r="E232" s="45" t="s">
        <v>12</v>
      </c>
      <c r="F232" s="45" t="s">
        <v>18</v>
      </c>
      <c r="G232" s="47">
        <v>190</v>
      </c>
      <c r="H232" s="47">
        <v>366.24</v>
      </c>
      <c r="I232" s="47">
        <v>69585.600000000006</v>
      </c>
      <c r="J232" s="47">
        <v>27498.78</v>
      </c>
    </row>
    <row r="233" spans="1:10" ht="15">
      <c r="A233" s="45">
        <v>232</v>
      </c>
      <c r="B233" s="46">
        <v>45990</v>
      </c>
      <c r="C233" s="45" t="s">
        <v>22</v>
      </c>
      <c r="D233" s="45" t="s">
        <v>23</v>
      </c>
      <c r="E233" s="45" t="s">
        <v>24</v>
      </c>
      <c r="F233" s="45" t="s">
        <v>18</v>
      </c>
      <c r="G233" s="47">
        <v>30</v>
      </c>
      <c r="H233" s="47">
        <v>369.14</v>
      </c>
      <c r="I233" s="47">
        <v>11074.2</v>
      </c>
      <c r="J233" s="47">
        <v>6441.52</v>
      </c>
    </row>
    <row r="234" spans="1:10" ht="15">
      <c r="A234" s="45">
        <v>233</v>
      </c>
      <c r="B234" s="46">
        <v>45994</v>
      </c>
      <c r="C234" s="45" t="s">
        <v>19</v>
      </c>
      <c r="D234" s="45" t="s">
        <v>23</v>
      </c>
      <c r="E234" s="45" t="s">
        <v>17</v>
      </c>
      <c r="F234" s="45" t="s">
        <v>13</v>
      </c>
      <c r="G234" s="47">
        <v>107</v>
      </c>
      <c r="H234" s="47">
        <v>307.74</v>
      </c>
      <c r="I234" s="47">
        <v>32928.18</v>
      </c>
      <c r="J234" s="47">
        <v>17473.72</v>
      </c>
    </row>
    <row r="235" spans="1:10" ht="15">
      <c r="A235" s="45">
        <v>234</v>
      </c>
      <c r="B235" s="46">
        <v>45997</v>
      </c>
      <c r="C235" s="45" t="s">
        <v>19</v>
      </c>
      <c r="D235" s="45" t="s">
        <v>11</v>
      </c>
      <c r="E235" s="45" t="s">
        <v>24</v>
      </c>
      <c r="F235" s="45" t="s">
        <v>15</v>
      </c>
      <c r="G235" s="47">
        <v>215</v>
      </c>
      <c r="H235" s="47">
        <v>200.27</v>
      </c>
      <c r="I235" s="47">
        <v>43058.05</v>
      </c>
      <c r="J235" s="47">
        <v>20310.59</v>
      </c>
    </row>
    <row r="236" spans="1:10" ht="15">
      <c r="A236" s="45">
        <v>235</v>
      </c>
      <c r="B236" s="46">
        <v>45999</v>
      </c>
      <c r="C236" s="45" t="s">
        <v>16</v>
      </c>
      <c r="D236" s="45" t="s">
        <v>20</v>
      </c>
      <c r="E236" s="45" t="s">
        <v>12</v>
      </c>
      <c r="F236" s="45" t="s">
        <v>13</v>
      </c>
      <c r="G236" s="47">
        <v>168</v>
      </c>
      <c r="H236" s="47">
        <v>460.77</v>
      </c>
      <c r="I236" s="47">
        <v>77409.36</v>
      </c>
      <c r="J236" s="47">
        <v>53257.91</v>
      </c>
    </row>
    <row r="237" spans="1:10" ht="15">
      <c r="A237" s="45">
        <v>236</v>
      </c>
      <c r="B237" s="46">
        <v>46001</v>
      </c>
      <c r="C237" s="45" t="s">
        <v>19</v>
      </c>
      <c r="D237" s="45" t="s">
        <v>11</v>
      </c>
      <c r="E237" s="45" t="s">
        <v>24</v>
      </c>
      <c r="F237" s="45" t="s">
        <v>18</v>
      </c>
      <c r="G237" s="47">
        <v>212</v>
      </c>
      <c r="H237" s="47">
        <v>205.36</v>
      </c>
      <c r="I237" s="47">
        <v>43536.32</v>
      </c>
      <c r="J237" s="47">
        <v>21876.400000000001</v>
      </c>
    </row>
    <row r="238" spans="1:10" ht="15">
      <c r="A238" s="45">
        <v>237</v>
      </c>
      <c r="B238" s="46">
        <v>46005</v>
      </c>
      <c r="C238" s="45" t="s">
        <v>16</v>
      </c>
      <c r="D238" s="45" t="s">
        <v>20</v>
      </c>
      <c r="E238" s="45" t="s">
        <v>21</v>
      </c>
      <c r="F238" s="45" t="s">
        <v>15</v>
      </c>
      <c r="G238" s="47">
        <v>123</v>
      </c>
      <c r="H238" s="47">
        <v>620.05999999999995</v>
      </c>
      <c r="I238" s="47">
        <v>76267.38</v>
      </c>
      <c r="J238" s="47">
        <v>54137.54</v>
      </c>
    </row>
    <row r="239" spans="1:10" ht="15">
      <c r="A239" s="45">
        <v>238</v>
      </c>
      <c r="B239" s="46">
        <v>46006</v>
      </c>
      <c r="C239" s="45" t="s">
        <v>22</v>
      </c>
      <c r="D239" s="45" t="s">
        <v>23</v>
      </c>
      <c r="E239" s="45" t="s">
        <v>17</v>
      </c>
      <c r="F239" s="45" t="s">
        <v>15</v>
      </c>
      <c r="G239" s="47">
        <v>219</v>
      </c>
      <c r="H239" s="47">
        <v>376.85</v>
      </c>
      <c r="I239" s="47">
        <v>82530.149999999994</v>
      </c>
      <c r="J239" s="47">
        <v>46588.4</v>
      </c>
    </row>
    <row r="240" spans="1:10" ht="15">
      <c r="A240" s="45">
        <v>239</v>
      </c>
      <c r="B240" s="46">
        <v>46012</v>
      </c>
      <c r="C240" s="45" t="s">
        <v>22</v>
      </c>
      <c r="D240" s="45" t="s">
        <v>14</v>
      </c>
      <c r="E240" s="45" t="s">
        <v>24</v>
      </c>
      <c r="F240" s="45" t="s">
        <v>15</v>
      </c>
      <c r="G240" s="47">
        <v>66</v>
      </c>
      <c r="H240" s="47">
        <v>540.65</v>
      </c>
      <c r="I240" s="47">
        <v>35682.9</v>
      </c>
      <c r="J240" s="47">
        <v>15591.37</v>
      </c>
    </row>
    <row r="241" spans="1:10" ht="15">
      <c r="A241" s="45">
        <v>240</v>
      </c>
      <c r="B241" s="46">
        <v>46013</v>
      </c>
      <c r="C241" s="45" t="s">
        <v>22</v>
      </c>
      <c r="D241" s="45" t="s">
        <v>14</v>
      </c>
      <c r="E241" s="45" t="s">
        <v>24</v>
      </c>
      <c r="F241" s="45" t="s">
        <v>15</v>
      </c>
      <c r="G241" s="47">
        <v>196</v>
      </c>
      <c r="H241" s="47">
        <v>519.73</v>
      </c>
      <c r="I241" s="47">
        <v>101867.08</v>
      </c>
      <c r="J241" s="47">
        <v>41414.85</v>
      </c>
    </row>
    <row r="242" spans="1:10" ht="15">
      <c r="A242" s="45">
        <v>241</v>
      </c>
      <c r="B242" s="46">
        <v>46015</v>
      </c>
      <c r="C242" s="45" t="s">
        <v>19</v>
      </c>
      <c r="D242" s="45" t="s">
        <v>11</v>
      </c>
      <c r="E242" s="45" t="s">
        <v>12</v>
      </c>
      <c r="F242" s="45" t="s">
        <v>18</v>
      </c>
      <c r="G242" s="47">
        <v>105</v>
      </c>
      <c r="H242" s="47">
        <v>166.97</v>
      </c>
      <c r="I242" s="47">
        <v>17531.849999999999</v>
      </c>
      <c r="J242" s="47">
        <v>8154.7</v>
      </c>
    </row>
    <row r="243" spans="1:10" ht="15">
      <c r="A243" s="45">
        <v>242</v>
      </c>
      <c r="B243" s="46">
        <v>46022</v>
      </c>
      <c r="C243" s="45" t="s">
        <v>22</v>
      </c>
      <c r="D243" s="45" t="s">
        <v>20</v>
      </c>
      <c r="E243" s="45" t="s">
        <v>24</v>
      </c>
      <c r="F243" s="45" t="s">
        <v>18</v>
      </c>
      <c r="G243" s="47">
        <v>165</v>
      </c>
      <c r="H243" s="47">
        <v>633.19000000000005</v>
      </c>
      <c r="I243" s="47">
        <v>104476.35</v>
      </c>
      <c r="J243" s="47">
        <v>69354.02</v>
      </c>
    </row>
    <row r="244" spans="1:10" ht="15">
      <c r="A244" s="45">
        <v>243</v>
      </c>
      <c r="B244" s="46">
        <v>46021</v>
      </c>
      <c r="C244" s="45" t="s">
        <v>10</v>
      </c>
      <c r="D244" s="45" t="s">
        <v>20</v>
      </c>
      <c r="E244" s="45" t="s">
        <v>21</v>
      </c>
      <c r="F244" s="45" t="s">
        <v>18</v>
      </c>
      <c r="G244" s="47">
        <v>159</v>
      </c>
      <c r="H244" s="47">
        <v>677.91</v>
      </c>
      <c r="I244" s="47">
        <v>107787.69</v>
      </c>
      <c r="J244" s="47">
        <v>75524.3</v>
      </c>
    </row>
    <row r="245" spans="1:10" ht="15">
      <c r="A245" s="45">
        <v>244</v>
      </c>
      <c r="B245" s="46">
        <v>46025</v>
      </c>
      <c r="C245" s="45" t="s">
        <v>10</v>
      </c>
      <c r="D245" s="45" t="s">
        <v>14</v>
      </c>
      <c r="E245" s="45" t="s">
        <v>24</v>
      </c>
      <c r="F245" s="45" t="s">
        <v>15</v>
      </c>
      <c r="G245" s="47">
        <v>42</v>
      </c>
      <c r="H245" s="47">
        <v>500.15</v>
      </c>
      <c r="I245" s="47">
        <v>21006.3</v>
      </c>
      <c r="J245" s="47">
        <v>8825.23</v>
      </c>
    </row>
    <row r="246" spans="1:10" ht="15">
      <c r="A246" s="45">
        <v>245</v>
      </c>
      <c r="B246" s="46">
        <v>46027</v>
      </c>
      <c r="C246" s="45" t="s">
        <v>10</v>
      </c>
      <c r="D246" s="45" t="s">
        <v>20</v>
      </c>
      <c r="E246" s="45" t="s">
        <v>12</v>
      </c>
      <c r="F246" s="45" t="s">
        <v>15</v>
      </c>
      <c r="G246" s="47">
        <v>86</v>
      </c>
      <c r="H246" s="47">
        <v>504.79</v>
      </c>
      <c r="I246" s="47">
        <v>43411.94</v>
      </c>
      <c r="J246" s="47">
        <v>28275.81</v>
      </c>
    </row>
    <row r="247" spans="1:10" ht="15">
      <c r="A247" s="45">
        <v>246</v>
      </c>
      <c r="B247" s="46">
        <v>46030</v>
      </c>
      <c r="C247" s="45" t="s">
        <v>10</v>
      </c>
      <c r="D247" s="45" t="s">
        <v>11</v>
      </c>
      <c r="E247" s="45" t="s">
        <v>17</v>
      </c>
      <c r="F247" s="45" t="s">
        <v>15</v>
      </c>
      <c r="G247" s="47">
        <v>214</v>
      </c>
      <c r="H247" s="47">
        <v>205.48</v>
      </c>
      <c r="I247" s="47">
        <v>43972.72</v>
      </c>
      <c r="J247" s="47">
        <v>20065.28</v>
      </c>
    </row>
    <row r="248" spans="1:10" ht="15">
      <c r="A248" s="45">
        <v>247</v>
      </c>
      <c r="B248" s="46">
        <v>46036</v>
      </c>
      <c r="C248" s="45" t="s">
        <v>10</v>
      </c>
      <c r="D248" s="45" t="s">
        <v>20</v>
      </c>
      <c r="E248" s="45" t="s">
        <v>12</v>
      </c>
      <c r="F248" s="45" t="s">
        <v>15</v>
      </c>
      <c r="G248" s="47">
        <v>66</v>
      </c>
      <c r="H248" s="47">
        <v>521.9</v>
      </c>
      <c r="I248" s="47">
        <v>34445.4</v>
      </c>
      <c r="J248" s="47">
        <v>23236.29</v>
      </c>
    </row>
    <row r="249" spans="1:10" ht="15">
      <c r="A249" s="45">
        <v>248</v>
      </c>
      <c r="B249" s="46">
        <v>46036</v>
      </c>
      <c r="C249" s="45" t="s">
        <v>16</v>
      </c>
      <c r="D249" s="45" t="s">
        <v>14</v>
      </c>
      <c r="E249" s="45" t="s">
        <v>21</v>
      </c>
      <c r="F249" s="45" t="s">
        <v>18</v>
      </c>
      <c r="G249" s="47">
        <v>132</v>
      </c>
      <c r="H249" s="47">
        <v>541.16</v>
      </c>
      <c r="I249" s="47">
        <v>71433.119999999995</v>
      </c>
      <c r="J249" s="47">
        <v>31785.19</v>
      </c>
    </row>
    <row r="250" spans="1:10" ht="15">
      <c r="A250" s="45">
        <v>249</v>
      </c>
      <c r="B250" s="46">
        <v>46039</v>
      </c>
      <c r="C250" s="45" t="s">
        <v>19</v>
      </c>
      <c r="D250" s="45" t="s">
        <v>14</v>
      </c>
      <c r="E250" s="45" t="s">
        <v>12</v>
      </c>
      <c r="F250" s="45" t="s">
        <v>15</v>
      </c>
      <c r="G250" s="47">
        <v>96</v>
      </c>
      <c r="H250" s="47">
        <v>363.64</v>
      </c>
      <c r="I250" s="47">
        <v>34909.440000000002</v>
      </c>
      <c r="J250" s="47">
        <v>15068.35</v>
      </c>
    </row>
    <row r="251" spans="1:10" ht="15">
      <c r="A251" s="45">
        <v>250</v>
      </c>
      <c r="B251" s="46">
        <v>46046</v>
      </c>
      <c r="C251" s="45" t="s">
        <v>19</v>
      </c>
      <c r="D251" s="45" t="s">
        <v>23</v>
      </c>
      <c r="E251" s="45" t="s">
        <v>24</v>
      </c>
      <c r="F251" s="45" t="s">
        <v>13</v>
      </c>
      <c r="G251" s="47">
        <v>109</v>
      </c>
      <c r="H251" s="47">
        <v>341.04</v>
      </c>
      <c r="I251" s="47">
        <v>37173.360000000001</v>
      </c>
      <c r="J251" s="47">
        <v>21726.400000000001</v>
      </c>
    </row>
    <row r="252" spans="1:10" ht="15">
      <c r="A252" s="45">
        <v>251</v>
      </c>
      <c r="B252" s="46">
        <v>46046</v>
      </c>
      <c r="C252" s="45" t="s">
        <v>10</v>
      </c>
      <c r="D252" s="45" t="s">
        <v>14</v>
      </c>
      <c r="E252" s="45" t="s">
        <v>21</v>
      </c>
      <c r="F252" s="45" t="s">
        <v>15</v>
      </c>
      <c r="G252" s="47">
        <v>30</v>
      </c>
      <c r="H252" s="47">
        <v>599.46</v>
      </c>
      <c r="I252" s="47">
        <v>17983.8</v>
      </c>
      <c r="J252" s="47">
        <v>8071.08</v>
      </c>
    </row>
    <row r="253" spans="1:10" ht="15">
      <c r="A253" s="45">
        <v>252</v>
      </c>
      <c r="B253" s="46">
        <v>46048</v>
      </c>
      <c r="C253" s="45" t="s">
        <v>22</v>
      </c>
      <c r="D253" s="45" t="s">
        <v>11</v>
      </c>
      <c r="E253" s="45" t="s">
        <v>12</v>
      </c>
      <c r="F253" s="45" t="s">
        <v>13</v>
      </c>
      <c r="G253" s="47">
        <v>52</v>
      </c>
      <c r="H253" s="47">
        <v>198.62</v>
      </c>
      <c r="I253" s="47">
        <v>10328.24</v>
      </c>
      <c r="J253" s="47">
        <v>4651.59</v>
      </c>
    </row>
    <row r="254" spans="1:10" ht="15">
      <c r="A254" s="45">
        <v>253</v>
      </c>
      <c r="B254" s="46">
        <v>46052</v>
      </c>
      <c r="C254" s="45" t="s">
        <v>22</v>
      </c>
      <c r="D254" s="45" t="s">
        <v>11</v>
      </c>
      <c r="E254" s="45" t="s">
        <v>12</v>
      </c>
      <c r="F254" s="45" t="s">
        <v>15</v>
      </c>
      <c r="G254" s="47">
        <v>97</v>
      </c>
      <c r="H254" s="47">
        <v>200.57</v>
      </c>
      <c r="I254" s="47">
        <v>19455.29</v>
      </c>
      <c r="J254" s="47">
        <v>9248.1299999999992</v>
      </c>
    </row>
    <row r="255" spans="1:10" ht="15">
      <c r="A255" s="45">
        <v>254</v>
      </c>
      <c r="B255" s="46">
        <v>46056</v>
      </c>
      <c r="C255" s="45" t="s">
        <v>19</v>
      </c>
      <c r="D255" s="45" t="s">
        <v>11</v>
      </c>
      <c r="E255" s="45" t="s">
        <v>17</v>
      </c>
      <c r="F255" s="45" t="s">
        <v>15</v>
      </c>
      <c r="G255" s="47">
        <v>76</v>
      </c>
      <c r="H255" s="47">
        <v>202.05</v>
      </c>
      <c r="I255" s="47">
        <v>15355.8</v>
      </c>
      <c r="J255" s="47">
        <v>7822.7</v>
      </c>
    </row>
    <row r="256" spans="1:10" ht="15">
      <c r="A256" s="45">
        <v>255</v>
      </c>
      <c r="B256" s="46">
        <v>46057</v>
      </c>
      <c r="C256" s="45" t="s">
        <v>19</v>
      </c>
      <c r="D256" s="45" t="s">
        <v>23</v>
      </c>
      <c r="E256" s="45" t="s">
        <v>12</v>
      </c>
      <c r="F256" s="45" t="s">
        <v>13</v>
      </c>
      <c r="G256" s="47">
        <v>71</v>
      </c>
      <c r="H256" s="47">
        <v>259</v>
      </c>
      <c r="I256" s="47">
        <v>18389</v>
      </c>
      <c r="J256" s="47">
        <v>10301.75</v>
      </c>
    </row>
    <row r="257" spans="1:10" ht="15">
      <c r="A257" s="45">
        <v>256</v>
      </c>
      <c r="B257" s="46">
        <v>46062</v>
      </c>
      <c r="C257" s="45" t="s">
        <v>10</v>
      </c>
      <c r="D257" s="45" t="s">
        <v>11</v>
      </c>
      <c r="E257" s="45" t="s">
        <v>12</v>
      </c>
      <c r="F257" s="45" t="s">
        <v>15</v>
      </c>
      <c r="G257" s="47">
        <v>20</v>
      </c>
      <c r="H257" s="47">
        <v>197.71</v>
      </c>
      <c r="I257" s="47">
        <v>3954.2</v>
      </c>
      <c r="J257" s="47">
        <v>1895.65</v>
      </c>
    </row>
    <row r="258" spans="1:10" ht="15">
      <c r="A258" s="45">
        <v>257</v>
      </c>
      <c r="B258" s="46">
        <v>46065</v>
      </c>
      <c r="C258" s="45" t="s">
        <v>22</v>
      </c>
      <c r="D258" s="45" t="s">
        <v>23</v>
      </c>
      <c r="E258" s="45" t="s">
        <v>24</v>
      </c>
      <c r="F258" s="45" t="s">
        <v>13</v>
      </c>
      <c r="G258" s="47">
        <v>175</v>
      </c>
      <c r="H258" s="47">
        <v>413.7</v>
      </c>
      <c r="I258" s="47">
        <v>72397.5</v>
      </c>
      <c r="J258" s="47">
        <v>39208.94</v>
      </c>
    </row>
    <row r="259" spans="1:10" ht="15">
      <c r="A259" s="45">
        <v>258</v>
      </c>
      <c r="B259" s="46">
        <v>46066</v>
      </c>
      <c r="C259" s="45" t="s">
        <v>10</v>
      </c>
      <c r="D259" s="45" t="s">
        <v>11</v>
      </c>
      <c r="E259" s="45" t="s">
        <v>17</v>
      </c>
      <c r="F259" s="45" t="s">
        <v>15</v>
      </c>
      <c r="G259" s="47">
        <v>53</v>
      </c>
      <c r="H259" s="47">
        <v>211.01</v>
      </c>
      <c r="I259" s="47">
        <v>11183.53</v>
      </c>
      <c r="J259" s="47">
        <v>5331.92</v>
      </c>
    </row>
    <row r="260" spans="1:10" ht="15">
      <c r="A260" s="45">
        <v>259</v>
      </c>
      <c r="B260" s="46">
        <v>46070</v>
      </c>
      <c r="C260" s="45" t="s">
        <v>16</v>
      </c>
      <c r="D260" s="45" t="s">
        <v>20</v>
      </c>
      <c r="E260" s="45" t="s">
        <v>21</v>
      </c>
      <c r="F260" s="45" t="s">
        <v>15</v>
      </c>
      <c r="G260" s="47">
        <v>220</v>
      </c>
      <c r="H260" s="47">
        <v>664.25</v>
      </c>
      <c r="I260" s="47">
        <v>146135</v>
      </c>
      <c r="J260" s="47">
        <v>99651.71</v>
      </c>
    </row>
    <row r="261" spans="1:10" ht="15">
      <c r="A261" s="45">
        <v>260</v>
      </c>
      <c r="B261" s="46">
        <v>46074</v>
      </c>
      <c r="C261" s="45" t="s">
        <v>19</v>
      </c>
      <c r="D261" s="45" t="s">
        <v>11</v>
      </c>
      <c r="E261" s="45" t="s">
        <v>12</v>
      </c>
      <c r="F261" s="45" t="s">
        <v>13</v>
      </c>
      <c r="G261" s="47">
        <v>146</v>
      </c>
      <c r="H261" s="47">
        <v>152.1</v>
      </c>
      <c r="I261" s="47">
        <v>22206.6</v>
      </c>
      <c r="J261" s="47">
        <v>11284.89</v>
      </c>
    </row>
    <row r="262" spans="1:10" ht="15">
      <c r="A262" s="45">
        <v>261</v>
      </c>
      <c r="B262" s="46">
        <v>46076</v>
      </c>
      <c r="C262" s="45" t="s">
        <v>19</v>
      </c>
      <c r="D262" s="45" t="s">
        <v>20</v>
      </c>
      <c r="E262" s="45" t="s">
        <v>12</v>
      </c>
      <c r="F262" s="45" t="s">
        <v>15</v>
      </c>
      <c r="G262" s="47">
        <v>208</v>
      </c>
      <c r="H262" s="47">
        <v>440.36</v>
      </c>
      <c r="I262" s="47">
        <v>91594.880000000005</v>
      </c>
      <c r="J262" s="47">
        <v>61705.47</v>
      </c>
    </row>
    <row r="263" spans="1:10" ht="15">
      <c r="A263" s="45">
        <v>262</v>
      </c>
      <c r="B263" s="46">
        <v>46080</v>
      </c>
      <c r="C263" s="45" t="s">
        <v>10</v>
      </c>
      <c r="D263" s="45" t="s">
        <v>23</v>
      </c>
      <c r="E263" s="45" t="s">
        <v>12</v>
      </c>
      <c r="F263" s="45" t="s">
        <v>15</v>
      </c>
      <c r="G263" s="47">
        <v>89</v>
      </c>
      <c r="H263" s="47">
        <v>312</v>
      </c>
      <c r="I263" s="47">
        <v>27768</v>
      </c>
      <c r="J263" s="47">
        <v>14732.11</v>
      </c>
    </row>
    <row r="264" spans="1:10" ht="15">
      <c r="A264" s="45">
        <v>263</v>
      </c>
      <c r="B264" s="46">
        <v>46083</v>
      </c>
      <c r="C264" s="45" t="s">
        <v>10</v>
      </c>
      <c r="D264" s="45" t="s">
        <v>14</v>
      </c>
      <c r="E264" s="45" t="s">
        <v>24</v>
      </c>
      <c r="F264" s="45" t="s">
        <v>18</v>
      </c>
      <c r="G264" s="47">
        <v>102</v>
      </c>
      <c r="H264" s="47">
        <v>524.57000000000005</v>
      </c>
      <c r="I264" s="47">
        <v>53506.14</v>
      </c>
      <c r="J264" s="47">
        <v>22408.13</v>
      </c>
    </row>
    <row r="265" spans="1:10" ht="15">
      <c r="A265" s="45">
        <v>264</v>
      </c>
      <c r="B265" s="46">
        <v>46088</v>
      </c>
      <c r="C265" s="45" t="s">
        <v>22</v>
      </c>
      <c r="D265" s="45" t="s">
        <v>23</v>
      </c>
      <c r="E265" s="45" t="s">
        <v>21</v>
      </c>
      <c r="F265" s="45" t="s">
        <v>15</v>
      </c>
      <c r="G265" s="47">
        <v>25</v>
      </c>
      <c r="H265" s="47">
        <v>504.71</v>
      </c>
      <c r="I265" s="47">
        <v>12617.75</v>
      </c>
      <c r="J265" s="47">
        <v>6740.24</v>
      </c>
    </row>
    <row r="266" spans="1:10" ht="15">
      <c r="A266" s="45">
        <v>265</v>
      </c>
      <c r="B266" s="46">
        <v>46091</v>
      </c>
      <c r="C266" s="45" t="s">
        <v>10</v>
      </c>
      <c r="D266" s="45" t="s">
        <v>23</v>
      </c>
      <c r="E266" s="45" t="s">
        <v>17</v>
      </c>
      <c r="F266" s="45" t="s">
        <v>18</v>
      </c>
      <c r="G266" s="47">
        <v>212</v>
      </c>
      <c r="H266" s="47">
        <v>351.88</v>
      </c>
      <c r="I266" s="47">
        <v>74598.559999999998</v>
      </c>
      <c r="J266" s="47">
        <v>39642.85</v>
      </c>
    </row>
    <row r="267" spans="1:10" ht="15">
      <c r="A267" s="45">
        <v>266</v>
      </c>
      <c r="B267" s="46">
        <v>46094</v>
      </c>
      <c r="C267" s="45" t="s">
        <v>16</v>
      </c>
      <c r="D267" s="45" t="s">
        <v>14</v>
      </c>
      <c r="E267" s="45" t="s">
        <v>24</v>
      </c>
      <c r="F267" s="45" t="s">
        <v>15</v>
      </c>
      <c r="G267" s="47">
        <v>59</v>
      </c>
      <c r="H267" s="47">
        <v>474.77</v>
      </c>
      <c r="I267" s="47">
        <v>28011.43</v>
      </c>
      <c r="J267" s="47">
        <v>12039.54</v>
      </c>
    </row>
    <row r="268" spans="1:10" ht="15">
      <c r="A268" s="45">
        <v>267</v>
      </c>
      <c r="B268" s="46">
        <v>46094</v>
      </c>
      <c r="C268" s="45" t="s">
        <v>22</v>
      </c>
      <c r="D268" s="45" t="s">
        <v>23</v>
      </c>
      <c r="E268" s="45" t="s">
        <v>12</v>
      </c>
      <c r="F268" s="45" t="s">
        <v>13</v>
      </c>
      <c r="G268" s="47">
        <v>192</v>
      </c>
      <c r="H268" s="47">
        <v>356.03</v>
      </c>
      <c r="I268" s="47">
        <v>68357.759999999995</v>
      </c>
      <c r="J268" s="47">
        <v>37359.43</v>
      </c>
    </row>
    <row r="269" spans="1:10" ht="15">
      <c r="A269" s="45">
        <v>268</v>
      </c>
      <c r="B269" s="46">
        <v>46096</v>
      </c>
      <c r="C269" s="45" t="s">
        <v>22</v>
      </c>
      <c r="D269" s="45" t="s">
        <v>20</v>
      </c>
      <c r="E269" s="45" t="s">
        <v>21</v>
      </c>
      <c r="F269" s="45" t="s">
        <v>18</v>
      </c>
      <c r="G269" s="47">
        <v>141</v>
      </c>
      <c r="H269" s="47">
        <v>791.18</v>
      </c>
      <c r="I269" s="47">
        <v>111556.38</v>
      </c>
      <c r="J269" s="47">
        <v>75481.119999999995</v>
      </c>
    </row>
    <row r="270" spans="1:10" ht="15">
      <c r="A270" s="45">
        <v>269</v>
      </c>
      <c r="B270" s="46">
        <v>46102</v>
      </c>
      <c r="C270" s="45" t="s">
        <v>10</v>
      </c>
      <c r="D270" s="45" t="s">
        <v>20</v>
      </c>
      <c r="E270" s="45" t="s">
        <v>17</v>
      </c>
      <c r="F270" s="45" t="s">
        <v>13</v>
      </c>
      <c r="G270" s="47">
        <v>159</v>
      </c>
      <c r="H270" s="47">
        <v>606.79999999999995</v>
      </c>
      <c r="I270" s="47">
        <v>96481.2</v>
      </c>
      <c r="J270" s="47">
        <v>65014.97</v>
      </c>
    </row>
    <row r="271" spans="1:10" ht="15">
      <c r="A271" s="45">
        <v>270</v>
      </c>
      <c r="B271" s="46">
        <v>46103</v>
      </c>
      <c r="C271" s="45" t="s">
        <v>22</v>
      </c>
      <c r="D271" s="45" t="s">
        <v>14</v>
      </c>
      <c r="E271" s="45" t="s">
        <v>21</v>
      </c>
      <c r="F271" s="45" t="s">
        <v>18</v>
      </c>
      <c r="G271" s="47">
        <v>129</v>
      </c>
      <c r="H271" s="47">
        <v>680.58</v>
      </c>
      <c r="I271" s="47">
        <v>87794.82</v>
      </c>
      <c r="J271" s="47">
        <v>34647.1</v>
      </c>
    </row>
    <row r="272" spans="1:10" ht="15">
      <c r="A272" s="45">
        <v>271</v>
      </c>
      <c r="B272" s="46">
        <v>46107</v>
      </c>
      <c r="C272" s="45" t="s">
        <v>10</v>
      </c>
      <c r="D272" s="45" t="s">
        <v>20</v>
      </c>
      <c r="E272" s="45" t="s">
        <v>24</v>
      </c>
      <c r="F272" s="45" t="s">
        <v>18</v>
      </c>
      <c r="G272" s="47">
        <v>207</v>
      </c>
      <c r="H272" s="47">
        <v>650.83000000000004</v>
      </c>
      <c r="I272" s="47">
        <v>134721.81</v>
      </c>
      <c r="J272" s="47">
        <v>90122.18</v>
      </c>
    </row>
    <row r="273" spans="1:10" ht="15">
      <c r="A273" s="45">
        <v>272</v>
      </c>
      <c r="B273" s="46">
        <v>46108</v>
      </c>
      <c r="C273" s="45" t="s">
        <v>19</v>
      </c>
      <c r="D273" s="45" t="s">
        <v>11</v>
      </c>
      <c r="E273" s="45" t="s">
        <v>12</v>
      </c>
      <c r="F273" s="45" t="s">
        <v>18</v>
      </c>
      <c r="G273" s="47">
        <v>220</v>
      </c>
      <c r="H273" s="47">
        <v>171.09</v>
      </c>
      <c r="I273" s="47">
        <v>37639.800000000003</v>
      </c>
      <c r="J273" s="47">
        <v>16988.52</v>
      </c>
    </row>
    <row r="274" spans="1:10" ht="15">
      <c r="A274" s="45">
        <v>273</v>
      </c>
      <c r="B274" s="46">
        <v>46111</v>
      </c>
      <c r="C274" s="45" t="s">
        <v>10</v>
      </c>
      <c r="D274" s="45" t="s">
        <v>23</v>
      </c>
      <c r="E274" s="45" t="s">
        <v>17</v>
      </c>
      <c r="F274" s="45" t="s">
        <v>13</v>
      </c>
      <c r="G274" s="47">
        <v>94</v>
      </c>
      <c r="H274" s="47">
        <v>352.6</v>
      </c>
      <c r="I274" s="47">
        <v>33144.400000000001</v>
      </c>
      <c r="J274" s="47">
        <v>18995.55</v>
      </c>
    </row>
    <row r="275" spans="1:10" ht="15">
      <c r="A275" s="45">
        <v>274</v>
      </c>
      <c r="B275" s="46">
        <v>46114</v>
      </c>
      <c r="C275" s="45" t="s">
        <v>16</v>
      </c>
      <c r="D275" s="45" t="s">
        <v>14</v>
      </c>
      <c r="E275" s="45" t="s">
        <v>17</v>
      </c>
      <c r="F275" s="45" t="s">
        <v>15</v>
      </c>
      <c r="G275" s="47">
        <v>19</v>
      </c>
      <c r="H275" s="47">
        <v>461.24</v>
      </c>
      <c r="I275" s="47">
        <v>8763.56</v>
      </c>
      <c r="J275" s="47">
        <v>3780.55</v>
      </c>
    </row>
    <row r="276" spans="1:10" ht="15">
      <c r="A276" s="45">
        <v>275</v>
      </c>
      <c r="B276" s="46">
        <v>46120</v>
      </c>
      <c r="C276" s="45" t="s">
        <v>10</v>
      </c>
      <c r="D276" s="45" t="s">
        <v>11</v>
      </c>
      <c r="E276" s="45" t="s">
        <v>12</v>
      </c>
      <c r="F276" s="45" t="s">
        <v>15</v>
      </c>
      <c r="G276" s="47">
        <v>39</v>
      </c>
      <c r="H276" s="47">
        <v>200.9</v>
      </c>
      <c r="I276" s="47">
        <v>7835.1</v>
      </c>
      <c r="J276" s="47">
        <v>3548.8</v>
      </c>
    </row>
    <row r="277" spans="1:10" ht="15">
      <c r="A277" s="45">
        <v>276</v>
      </c>
      <c r="B277" s="46">
        <v>46120</v>
      </c>
      <c r="C277" s="45" t="s">
        <v>19</v>
      </c>
      <c r="D277" s="45" t="s">
        <v>11</v>
      </c>
      <c r="E277" s="45" t="s">
        <v>21</v>
      </c>
      <c r="F277" s="45" t="s">
        <v>13</v>
      </c>
      <c r="G277" s="47">
        <v>46</v>
      </c>
      <c r="H277" s="47">
        <v>223.18</v>
      </c>
      <c r="I277" s="47">
        <v>10266.280000000001</v>
      </c>
      <c r="J277" s="47">
        <v>5210.0200000000004</v>
      </c>
    </row>
    <row r="278" spans="1:10" ht="15">
      <c r="A278" s="45">
        <v>277</v>
      </c>
      <c r="B278" s="46">
        <v>46127</v>
      </c>
      <c r="C278" s="45" t="s">
        <v>10</v>
      </c>
      <c r="D278" s="45" t="s">
        <v>23</v>
      </c>
      <c r="E278" s="45" t="s">
        <v>17</v>
      </c>
      <c r="F278" s="45" t="s">
        <v>18</v>
      </c>
      <c r="G278" s="47">
        <v>161</v>
      </c>
      <c r="H278" s="47">
        <v>356.63</v>
      </c>
      <c r="I278" s="47">
        <v>57417.43</v>
      </c>
      <c r="J278" s="47">
        <v>31337.27</v>
      </c>
    </row>
    <row r="279" spans="1:10" ht="15">
      <c r="A279" s="45">
        <v>278</v>
      </c>
      <c r="B279" s="46">
        <v>46126</v>
      </c>
      <c r="C279" s="45" t="s">
        <v>19</v>
      </c>
      <c r="D279" s="45" t="s">
        <v>11</v>
      </c>
      <c r="E279" s="45" t="s">
        <v>12</v>
      </c>
      <c r="F279" s="45" t="s">
        <v>15</v>
      </c>
      <c r="G279" s="47">
        <v>28</v>
      </c>
      <c r="H279" s="47">
        <v>178.03</v>
      </c>
      <c r="I279" s="47">
        <v>4984.84</v>
      </c>
      <c r="J279" s="47">
        <v>2352.87</v>
      </c>
    </row>
    <row r="280" spans="1:10" ht="15">
      <c r="A280" s="45">
        <v>279</v>
      </c>
      <c r="B280" s="46">
        <v>46130</v>
      </c>
      <c r="C280" s="45" t="s">
        <v>22</v>
      </c>
      <c r="D280" s="45" t="s">
        <v>11</v>
      </c>
      <c r="E280" s="45" t="s">
        <v>21</v>
      </c>
      <c r="F280" s="45" t="s">
        <v>15</v>
      </c>
      <c r="G280" s="47">
        <v>158</v>
      </c>
      <c r="H280" s="47">
        <v>281.2</v>
      </c>
      <c r="I280" s="47">
        <v>44429.599999999999</v>
      </c>
      <c r="J280" s="47">
        <v>21487.46</v>
      </c>
    </row>
    <row r="281" spans="1:10" ht="15">
      <c r="A281" s="45">
        <v>280</v>
      </c>
      <c r="B281" s="46">
        <v>46134</v>
      </c>
      <c r="C281" s="45" t="s">
        <v>10</v>
      </c>
      <c r="D281" s="45" t="s">
        <v>11</v>
      </c>
      <c r="E281" s="45" t="s">
        <v>12</v>
      </c>
      <c r="F281" s="45" t="s">
        <v>15</v>
      </c>
      <c r="G281" s="47">
        <v>42</v>
      </c>
      <c r="H281" s="47">
        <v>194.2</v>
      </c>
      <c r="I281" s="47">
        <v>8156.4</v>
      </c>
      <c r="J281" s="47">
        <v>3707.1</v>
      </c>
    </row>
    <row r="282" spans="1:10" ht="15">
      <c r="A282" s="45">
        <v>281</v>
      </c>
      <c r="B282" s="46">
        <v>46138</v>
      </c>
      <c r="C282" s="45" t="s">
        <v>10</v>
      </c>
      <c r="D282" s="45" t="s">
        <v>14</v>
      </c>
      <c r="E282" s="45" t="s">
        <v>17</v>
      </c>
      <c r="F282" s="45" t="s">
        <v>13</v>
      </c>
      <c r="G282" s="47">
        <v>122</v>
      </c>
      <c r="H282" s="47">
        <v>501.94</v>
      </c>
      <c r="I282" s="47">
        <v>61236.68</v>
      </c>
      <c r="J282" s="47">
        <v>26973.39</v>
      </c>
    </row>
    <row r="283" spans="1:10" ht="15">
      <c r="A283" s="45">
        <v>282</v>
      </c>
      <c r="B283" s="46">
        <v>46141</v>
      </c>
      <c r="C283" s="45" t="s">
        <v>16</v>
      </c>
      <c r="D283" s="45" t="s">
        <v>14</v>
      </c>
      <c r="E283" s="45" t="s">
        <v>12</v>
      </c>
      <c r="F283" s="45" t="s">
        <v>18</v>
      </c>
      <c r="G283" s="47">
        <v>173</v>
      </c>
      <c r="H283" s="47">
        <v>386.77</v>
      </c>
      <c r="I283" s="47">
        <v>66911.210000000006</v>
      </c>
      <c r="J283" s="47">
        <v>29046.06</v>
      </c>
    </row>
    <row r="284" spans="1:10" ht="15">
      <c r="A284" s="45">
        <v>283</v>
      </c>
      <c r="B284" s="46">
        <v>46143</v>
      </c>
      <c r="C284" s="45" t="s">
        <v>16</v>
      </c>
      <c r="D284" s="45" t="s">
        <v>14</v>
      </c>
      <c r="E284" s="45" t="s">
        <v>21</v>
      </c>
      <c r="F284" s="45" t="s">
        <v>13</v>
      </c>
      <c r="G284" s="47">
        <v>148</v>
      </c>
      <c r="H284" s="47">
        <v>524.12</v>
      </c>
      <c r="I284" s="47">
        <v>77569.759999999995</v>
      </c>
      <c r="J284" s="47">
        <v>31445.42</v>
      </c>
    </row>
    <row r="285" spans="1:10" ht="15">
      <c r="A285" s="45">
        <v>284</v>
      </c>
      <c r="B285" s="46">
        <v>46144</v>
      </c>
      <c r="C285" s="45" t="s">
        <v>22</v>
      </c>
      <c r="D285" s="45" t="s">
        <v>14</v>
      </c>
      <c r="E285" s="45" t="s">
        <v>21</v>
      </c>
      <c r="F285" s="45" t="s">
        <v>15</v>
      </c>
      <c r="G285" s="47">
        <v>180</v>
      </c>
      <c r="H285" s="47">
        <v>627.14</v>
      </c>
      <c r="I285" s="47">
        <v>112885.2</v>
      </c>
      <c r="J285" s="47">
        <v>44467.97</v>
      </c>
    </row>
    <row r="286" spans="1:10" ht="15">
      <c r="A286" s="45">
        <v>285</v>
      </c>
      <c r="B286" s="46">
        <v>46151</v>
      </c>
      <c r="C286" s="45" t="s">
        <v>22</v>
      </c>
      <c r="D286" s="45" t="s">
        <v>14</v>
      </c>
      <c r="E286" s="45" t="s">
        <v>24</v>
      </c>
      <c r="F286" s="45" t="s">
        <v>18</v>
      </c>
      <c r="G286" s="47">
        <v>151</v>
      </c>
      <c r="H286" s="47">
        <v>567.04999999999995</v>
      </c>
      <c r="I286" s="47">
        <v>85624.55</v>
      </c>
      <c r="J286" s="47">
        <v>35842.31</v>
      </c>
    </row>
    <row r="287" spans="1:10" ht="15">
      <c r="A287" s="45">
        <v>286</v>
      </c>
      <c r="B287" s="46">
        <v>46154</v>
      </c>
      <c r="C287" s="45" t="s">
        <v>10</v>
      </c>
      <c r="D287" s="45" t="s">
        <v>20</v>
      </c>
      <c r="E287" s="45" t="s">
        <v>24</v>
      </c>
      <c r="F287" s="45" t="s">
        <v>18</v>
      </c>
      <c r="G287" s="47">
        <v>88</v>
      </c>
      <c r="H287" s="47">
        <v>604.79999999999995</v>
      </c>
      <c r="I287" s="47">
        <v>53222.400000000001</v>
      </c>
      <c r="J287" s="47">
        <v>37140.480000000003</v>
      </c>
    </row>
    <row r="288" spans="1:10" ht="15">
      <c r="A288" s="45">
        <v>287</v>
      </c>
      <c r="B288" s="46">
        <v>46157</v>
      </c>
      <c r="C288" s="45" t="s">
        <v>22</v>
      </c>
      <c r="D288" s="45" t="s">
        <v>11</v>
      </c>
      <c r="E288" s="45" t="s">
        <v>17</v>
      </c>
      <c r="F288" s="45" t="s">
        <v>18</v>
      </c>
      <c r="G288" s="47">
        <v>113</v>
      </c>
      <c r="H288" s="47">
        <v>222.41</v>
      </c>
      <c r="I288" s="47">
        <v>25132.33</v>
      </c>
      <c r="J288" s="47">
        <v>12469.99</v>
      </c>
    </row>
    <row r="289" spans="1:10" ht="15">
      <c r="A289" s="45">
        <v>288</v>
      </c>
      <c r="B289" s="46">
        <v>46159</v>
      </c>
      <c r="C289" s="45" t="s">
        <v>22</v>
      </c>
      <c r="D289" s="45" t="s">
        <v>11</v>
      </c>
      <c r="E289" s="45" t="s">
        <v>24</v>
      </c>
      <c r="F289" s="45" t="s">
        <v>15</v>
      </c>
      <c r="G289" s="47">
        <v>22</v>
      </c>
      <c r="H289" s="47">
        <v>240.21</v>
      </c>
      <c r="I289" s="47">
        <v>5284.62</v>
      </c>
      <c r="J289" s="47">
        <v>2454.19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9"/>
  <sheetViews>
    <sheetView workbookViewId="0">
      <selection activeCell="B1" sqref="B1"/>
    </sheetView>
  </sheetViews>
  <sheetFormatPr defaultRowHeight="14.25"/>
  <cols>
    <col min="1" max="1" width="16" customWidth="1"/>
    <col min="2" max="2" width="9.125" bestFit="1" customWidth="1"/>
    <col min="3" max="3" width="7.25" customWidth="1"/>
    <col min="4" max="4" width="10.625" customWidth="1"/>
    <col min="5" max="5" width="21.25" customWidth="1"/>
    <col min="6" max="6" width="15.625" customWidth="1"/>
    <col min="7" max="7" width="11.625" customWidth="1"/>
    <col min="8" max="8" width="11.25" customWidth="1"/>
    <col min="9" max="9" width="12" customWidth="1"/>
    <col min="10" max="10" width="10.75" customWidth="1"/>
    <col min="11" max="11" width="8.875" customWidth="1"/>
    <col min="12" max="12" width="9.25" customWidth="1"/>
    <col min="13" max="13" width="10.75" customWidth="1"/>
    <col min="14" max="14" width="15" customWidth="1"/>
  </cols>
  <sheetData>
    <row r="1" spans="1:14" ht="1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25</v>
      </c>
      <c r="L1" s="52" t="s">
        <v>26</v>
      </c>
      <c r="M1" s="52" t="s">
        <v>27</v>
      </c>
      <c r="N1" s="52" t="s">
        <v>28</v>
      </c>
    </row>
    <row r="2" spans="1:14" ht="15">
      <c r="A2" s="48">
        <f>Raw_Data!A2</f>
        <v>1</v>
      </c>
      <c r="B2" s="49">
        <f>Raw_Data!B2</f>
        <v>45297</v>
      </c>
      <c r="C2" s="48" t="str">
        <f>Raw_Data!C2</f>
        <v>EU</v>
      </c>
      <c r="D2" s="48" t="str">
        <f>Raw_Data!D2</f>
        <v>Training</v>
      </c>
      <c r="E2" s="48" t="str">
        <f>Raw_Data!E2</f>
        <v>SMB</v>
      </c>
      <c r="F2" s="48" t="str">
        <f>Raw_Data!F2</f>
        <v>Direct</v>
      </c>
      <c r="G2" s="50">
        <f>Raw_Data!G2</f>
        <v>152</v>
      </c>
      <c r="H2" s="50">
        <f>Raw_Data!H2</f>
        <v>173.19</v>
      </c>
      <c r="I2" s="50">
        <f>Raw_Data!I2</f>
        <v>26324.880000000001</v>
      </c>
      <c r="J2" s="50">
        <f>Raw_Data!J2</f>
        <v>12843.41</v>
      </c>
      <c r="K2" s="48" t="str">
        <f t="shared" ref="K2:K65" si="0">TEXT(B2,"yyyy-mm")</f>
        <v>2024-01</v>
      </c>
      <c r="L2" s="48" t="str">
        <f t="shared" ref="L2:L65" si="1">"Q"&amp;ROUNDUP(MONTH(B2)/3,0)&amp;"-"&amp;YEAR(B2)</f>
        <v>Q1-2024</v>
      </c>
      <c r="M2" s="50">
        <f t="shared" ref="M2:M65" si="2">I2-J2</f>
        <v>13481.470000000001</v>
      </c>
      <c r="N2" s="51">
        <f t="shared" ref="N2:N65" si="3">IFERROR(M2/I2,0)</f>
        <v>0.51211895362865856</v>
      </c>
    </row>
    <row r="3" spans="1:14" ht="15">
      <c r="A3" s="48">
        <f>Raw_Data!A3</f>
        <v>2</v>
      </c>
      <c r="B3" s="49">
        <f>Raw_Data!B3</f>
        <v>45302</v>
      </c>
      <c r="C3" s="48" t="str">
        <f>Raw_Data!C3</f>
        <v>EU</v>
      </c>
      <c r="D3" s="48" t="str">
        <f>Raw_Data!D3</f>
        <v>Software</v>
      </c>
      <c r="E3" s="48" t="str">
        <f>Raw_Data!E3</f>
        <v>SMB</v>
      </c>
      <c r="F3" s="48" t="str">
        <f>Raw_Data!F3</f>
        <v>Partner</v>
      </c>
      <c r="G3" s="50">
        <f>Raw_Data!G3</f>
        <v>122</v>
      </c>
      <c r="H3" s="50">
        <f>Raw_Data!H3</f>
        <v>399.65</v>
      </c>
      <c r="I3" s="50">
        <f>Raw_Data!I3</f>
        <v>48757.3</v>
      </c>
      <c r="J3" s="50">
        <f>Raw_Data!J3</f>
        <v>19302.84</v>
      </c>
      <c r="K3" s="48" t="str">
        <f t="shared" si="0"/>
        <v>2024-01</v>
      </c>
      <c r="L3" s="48" t="str">
        <f t="shared" si="1"/>
        <v>Q1-2024</v>
      </c>
      <c r="M3" s="50">
        <f t="shared" si="2"/>
        <v>29454.460000000003</v>
      </c>
      <c r="N3" s="51">
        <f t="shared" si="3"/>
        <v>0.60410359064181163</v>
      </c>
    </row>
    <row r="4" spans="1:14" ht="15">
      <c r="A4" s="48">
        <f>Raw_Data!A4</f>
        <v>3</v>
      </c>
      <c r="B4" s="49">
        <f>Raw_Data!B4</f>
        <v>45304</v>
      </c>
      <c r="C4" s="48" t="str">
        <f>Raw_Data!C4</f>
        <v>UK</v>
      </c>
      <c r="D4" s="48" t="str">
        <f>Raw_Data!D4</f>
        <v>Software</v>
      </c>
      <c r="E4" s="48" t="str">
        <f>Raw_Data!E4</f>
        <v>Mid-Market</v>
      </c>
      <c r="F4" s="48" t="str">
        <f>Raw_Data!F4</f>
        <v>Online</v>
      </c>
      <c r="G4" s="50">
        <f>Raw_Data!G4</f>
        <v>175</v>
      </c>
      <c r="H4" s="50">
        <f>Raw_Data!H4</f>
        <v>439.79</v>
      </c>
      <c r="I4" s="50">
        <f>Raw_Data!I4</f>
        <v>76963.25</v>
      </c>
      <c r="J4" s="50">
        <f>Raw_Data!J4</f>
        <v>30325.14</v>
      </c>
      <c r="K4" s="48" t="str">
        <f t="shared" si="0"/>
        <v>2024-01</v>
      </c>
      <c r="L4" s="48" t="str">
        <f t="shared" si="1"/>
        <v>Q1-2024</v>
      </c>
      <c r="M4" s="50">
        <f t="shared" si="2"/>
        <v>46638.11</v>
      </c>
      <c r="N4" s="51">
        <f t="shared" si="3"/>
        <v>0.60597895748945119</v>
      </c>
    </row>
    <row r="5" spans="1:14" ht="15">
      <c r="A5" s="48">
        <f>Raw_Data!A5</f>
        <v>4</v>
      </c>
      <c r="B5" s="49">
        <f>Raw_Data!B5</f>
        <v>45308</v>
      </c>
      <c r="C5" s="48" t="str">
        <f>Raw_Data!C5</f>
        <v>APAC</v>
      </c>
      <c r="D5" s="48" t="str">
        <f>Raw_Data!D5</f>
        <v>Software</v>
      </c>
      <c r="E5" s="48" t="str">
        <f>Raw_Data!E5</f>
        <v>Mid-Market</v>
      </c>
      <c r="F5" s="48" t="str">
        <f>Raw_Data!F5</f>
        <v>Direct</v>
      </c>
      <c r="G5" s="50">
        <f>Raw_Data!G5</f>
        <v>157</v>
      </c>
      <c r="H5" s="50">
        <f>Raw_Data!H5</f>
        <v>423.5</v>
      </c>
      <c r="I5" s="50">
        <f>Raw_Data!I5</f>
        <v>66489.5</v>
      </c>
      <c r="J5" s="50">
        <f>Raw_Data!J5</f>
        <v>27182.54</v>
      </c>
      <c r="K5" s="48" t="str">
        <f t="shared" si="0"/>
        <v>2024-01</v>
      </c>
      <c r="L5" s="48" t="str">
        <f t="shared" si="1"/>
        <v>Q1-2024</v>
      </c>
      <c r="M5" s="50">
        <f t="shared" si="2"/>
        <v>39306.959999999999</v>
      </c>
      <c r="N5" s="51">
        <f t="shared" si="3"/>
        <v>0.59117544875506656</v>
      </c>
    </row>
    <row r="6" spans="1:14" ht="15">
      <c r="A6" s="48">
        <f>Raw_Data!A6</f>
        <v>5</v>
      </c>
      <c r="B6" s="49">
        <f>Raw_Data!B6</f>
        <v>45308</v>
      </c>
      <c r="C6" s="48" t="str">
        <f>Raw_Data!C6</f>
        <v>UK</v>
      </c>
      <c r="D6" s="48" t="str">
        <f>Raw_Data!D6</f>
        <v>Hardware</v>
      </c>
      <c r="E6" s="48" t="str">
        <f>Raw_Data!E6</f>
        <v>Mid-Market</v>
      </c>
      <c r="F6" s="48" t="str">
        <f>Raw_Data!F6</f>
        <v>Direct</v>
      </c>
      <c r="G6" s="50">
        <f>Raw_Data!G6</f>
        <v>163</v>
      </c>
      <c r="H6" s="50">
        <f>Raw_Data!H6</f>
        <v>532.96</v>
      </c>
      <c r="I6" s="50">
        <f>Raw_Data!I6</f>
        <v>86872.48</v>
      </c>
      <c r="J6" s="50">
        <f>Raw_Data!J6</f>
        <v>57527.97</v>
      </c>
      <c r="K6" s="48" t="str">
        <f t="shared" si="0"/>
        <v>2024-01</v>
      </c>
      <c r="L6" s="48" t="str">
        <f t="shared" si="1"/>
        <v>Q1-2024</v>
      </c>
      <c r="M6" s="50">
        <f t="shared" si="2"/>
        <v>29344.509999999995</v>
      </c>
      <c r="N6" s="51">
        <f t="shared" si="3"/>
        <v>0.33778833066582187</v>
      </c>
    </row>
    <row r="7" spans="1:14" ht="15">
      <c r="A7" s="48">
        <f>Raw_Data!A7</f>
        <v>6</v>
      </c>
      <c r="B7" s="49">
        <f>Raw_Data!B7</f>
        <v>45310</v>
      </c>
      <c r="C7" s="48" t="str">
        <f>Raw_Data!C7</f>
        <v>UK</v>
      </c>
      <c r="D7" s="48" t="str">
        <f>Raw_Data!D7</f>
        <v>Software</v>
      </c>
      <c r="E7" s="48" t="str">
        <f>Raw_Data!E7</f>
        <v>Mid-Market</v>
      </c>
      <c r="F7" s="48" t="str">
        <f>Raw_Data!F7</f>
        <v>Partner</v>
      </c>
      <c r="G7" s="50">
        <f>Raw_Data!G7</f>
        <v>189</v>
      </c>
      <c r="H7" s="50">
        <f>Raw_Data!H7</f>
        <v>437.94</v>
      </c>
      <c r="I7" s="50">
        <f>Raw_Data!I7</f>
        <v>82770.66</v>
      </c>
      <c r="J7" s="50">
        <f>Raw_Data!J7</f>
        <v>36462.120000000003</v>
      </c>
      <c r="K7" s="48" t="str">
        <f t="shared" si="0"/>
        <v>2024-01</v>
      </c>
      <c r="L7" s="48" t="str">
        <f t="shared" si="1"/>
        <v>Q1-2024</v>
      </c>
      <c r="M7" s="50">
        <f t="shared" si="2"/>
        <v>46308.54</v>
      </c>
      <c r="N7" s="51">
        <f t="shared" si="3"/>
        <v>0.55948013462741508</v>
      </c>
    </row>
    <row r="8" spans="1:14" ht="15">
      <c r="A8" s="48">
        <f>Raw_Data!A8</f>
        <v>7</v>
      </c>
      <c r="B8" s="49">
        <f>Raw_Data!B8</f>
        <v>45316</v>
      </c>
      <c r="C8" s="48" t="str">
        <f>Raw_Data!C8</f>
        <v>APAC</v>
      </c>
      <c r="D8" s="48" t="str">
        <f>Raw_Data!D8</f>
        <v>Hardware</v>
      </c>
      <c r="E8" s="48" t="str">
        <f>Raw_Data!E8</f>
        <v>Enterprise</v>
      </c>
      <c r="F8" s="48" t="str">
        <f>Raw_Data!F8</f>
        <v>Direct</v>
      </c>
      <c r="G8" s="50">
        <f>Raw_Data!G8</f>
        <v>218</v>
      </c>
      <c r="H8" s="50">
        <f>Raw_Data!H8</f>
        <v>606.71</v>
      </c>
      <c r="I8" s="50">
        <f>Raw_Data!I8</f>
        <v>132262.78</v>
      </c>
      <c r="J8" s="50">
        <f>Raw_Data!J8</f>
        <v>92675.07</v>
      </c>
      <c r="K8" s="48" t="str">
        <f t="shared" si="0"/>
        <v>2024-01</v>
      </c>
      <c r="L8" s="48" t="str">
        <f t="shared" si="1"/>
        <v>Q1-2024</v>
      </c>
      <c r="M8" s="50">
        <f t="shared" si="2"/>
        <v>39587.709999999992</v>
      </c>
      <c r="N8" s="51">
        <f t="shared" si="3"/>
        <v>0.29931103822254451</v>
      </c>
    </row>
    <row r="9" spans="1:14" ht="15">
      <c r="A9" s="48">
        <f>Raw_Data!A9</f>
        <v>8</v>
      </c>
      <c r="B9" s="49">
        <f>Raw_Data!B9</f>
        <v>45316</v>
      </c>
      <c r="C9" s="48" t="str">
        <f>Raw_Data!C9</f>
        <v>US</v>
      </c>
      <c r="D9" s="48" t="str">
        <f>Raw_Data!D9</f>
        <v>Training</v>
      </c>
      <c r="E9" s="48" t="str">
        <f>Raw_Data!E9</f>
        <v>Enterprise</v>
      </c>
      <c r="F9" s="48" t="str">
        <f>Raw_Data!F9</f>
        <v>Online</v>
      </c>
      <c r="G9" s="50">
        <f>Raw_Data!G9</f>
        <v>129</v>
      </c>
      <c r="H9" s="50">
        <f>Raw_Data!H9</f>
        <v>281.49</v>
      </c>
      <c r="I9" s="50">
        <f>Raw_Data!I9</f>
        <v>36312.21</v>
      </c>
      <c r="J9" s="50">
        <f>Raw_Data!J9</f>
        <v>18653.990000000002</v>
      </c>
      <c r="K9" s="48" t="str">
        <f t="shared" si="0"/>
        <v>2024-01</v>
      </c>
      <c r="L9" s="48" t="str">
        <f t="shared" si="1"/>
        <v>Q1-2024</v>
      </c>
      <c r="M9" s="50">
        <f t="shared" si="2"/>
        <v>17658.219999999998</v>
      </c>
      <c r="N9" s="51">
        <f t="shared" si="3"/>
        <v>0.48628877173821139</v>
      </c>
    </row>
    <row r="10" spans="1:14" ht="15">
      <c r="A10" s="48">
        <f>Raw_Data!A10</f>
        <v>9</v>
      </c>
      <c r="B10" s="49">
        <f>Raw_Data!B10</f>
        <v>45319</v>
      </c>
      <c r="C10" s="48" t="str">
        <f>Raw_Data!C10</f>
        <v>APAC</v>
      </c>
      <c r="D10" s="48" t="str">
        <f>Raw_Data!D10</f>
        <v>Services</v>
      </c>
      <c r="E10" s="48" t="str">
        <f>Raw_Data!E10</f>
        <v>Enterprise</v>
      </c>
      <c r="F10" s="48" t="str">
        <f>Raw_Data!F10</f>
        <v>Direct</v>
      </c>
      <c r="G10" s="50">
        <f>Raw_Data!G10</f>
        <v>140</v>
      </c>
      <c r="H10" s="50">
        <f>Raw_Data!H10</f>
        <v>372.97</v>
      </c>
      <c r="I10" s="50">
        <f>Raw_Data!I10</f>
        <v>52215.8</v>
      </c>
      <c r="J10" s="50">
        <f>Raw_Data!J10</f>
        <v>30417.33</v>
      </c>
      <c r="K10" s="48" t="str">
        <f t="shared" si="0"/>
        <v>2024-01</v>
      </c>
      <c r="L10" s="48" t="str">
        <f t="shared" si="1"/>
        <v>Q1-2024</v>
      </c>
      <c r="M10" s="50">
        <f t="shared" si="2"/>
        <v>21798.47</v>
      </c>
      <c r="N10" s="51">
        <f t="shared" si="3"/>
        <v>0.41746885042458415</v>
      </c>
    </row>
    <row r="11" spans="1:14" ht="15">
      <c r="A11" s="48">
        <f>Raw_Data!A11</f>
        <v>10</v>
      </c>
      <c r="B11" s="49">
        <f>Raw_Data!B11</f>
        <v>45322</v>
      </c>
      <c r="C11" s="48" t="str">
        <f>Raw_Data!C11</f>
        <v>US</v>
      </c>
      <c r="D11" s="48" t="str">
        <f>Raw_Data!D11</f>
        <v>Hardware</v>
      </c>
      <c r="E11" s="48" t="str">
        <f>Raw_Data!E11</f>
        <v>Enterprise</v>
      </c>
      <c r="F11" s="48" t="str">
        <f>Raw_Data!F11</f>
        <v>Online</v>
      </c>
      <c r="G11" s="50">
        <f>Raw_Data!G11</f>
        <v>142</v>
      </c>
      <c r="H11" s="50">
        <f>Raw_Data!H11</f>
        <v>778.96</v>
      </c>
      <c r="I11" s="50">
        <f>Raw_Data!I11</f>
        <v>110612.32</v>
      </c>
      <c r="J11" s="50">
        <f>Raw_Data!J11</f>
        <v>75178.03</v>
      </c>
      <c r="K11" s="48" t="str">
        <f t="shared" si="0"/>
        <v>2024-01</v>
      </c>
      <c r="L11" s="48" t="str">
        <f t="shared" si="1"/>
        <v>Q1-2024</v>
      </c>
      <c r="M11" s="50">
        <f t="shared" si="2"/>
        <v>35434.290000000008</v>
      </c>
      <c r="N11" s="51">
        <f t="shared" si="3"/>
        <v>0.32034668470926209</v>
      </c>
    </row>
    <row r="12" spans="1:14" ht="15">
      <c r="A12" s="48">
        <f>Raw_Data!A12</f>
        <v>11</v>
      </c>
      <c r="B12" s="49">
        <f>Raw_Data!B12</f>
        <v>45325</v>
      </c>
      <c r="C12" s="48" t="str">
        <f>Raw_Data!C12</f>
        <v>US</v>
      </c>
      <c r="D12" s="48" t="str">
        <f>Raw_Data!D12</f>
        <v>Training</v>
      </c>
      <c r="E12" s="48" t="str">
        <f>Raw_Data!E12</f>
        <v>SMB</v>
      </c>
      <c r="F12" s="48" t="str">
        <f>Raw_Data!F12</f>
        <v>Direct</v>
      </c>
      <c r="G12" s="50">
        <f>Raw_Data!G12</f>
        <v>202</v>
      </c>
      <c r="H12" s="50">
        <f>Raw_Data!H12</f>
        <v>218.22</v>
      </c>
      <c r="I12" s="50">
        <f>Raw_Data!I12</f>
        <v>44080.44</v>
      </c>
      <c r="J12" s="50">
        <f>Raw_Data!J12</f>
        <v>21690.37</v>
      </c>
      <c r="K12" s="48" t="str">
        <f t="shared" si="0"/>
        <v>2024-02</v>
      </c>
      <c r="L12" s="48" t="str">
        <f t="shared" si="1"/>
        <v>Q1-2024</v>
      </c>
      <c r="M12" s="50">
        <f t="shared" si="2"/>
        <v>22390.070000000003</v>
      </c>
      <c r="N12" s="51">
        <f t="shared" si="3"/>
        <v>0.50793662676688345</v>
      </c>
    </row>
    <row r="13" spans="1:14" ht="15">
      <c r="A13" s="48">
        <f>Raw_Data!A13</f>
        <v>12</v>
      </c>
      <c r="B13" s="49">
        <f>Raw_Data!B13</f>
        <v>45331</v>
      </c>
      <c r="C13" s="48" t="str">
        <f>Raw_Data!C13</f>
        <v>US</v>
      </c>
      <c r="D13" s="48" t="str">
        <f>Raw_Data!D13</f>
        <v>Training</v>
      </c>
      <c r="E13" s="48" t="str">
        <f>Raw_Data!E13</f>
        <v>Enterprise</v>
      </c>
      <c r="F13" s="48" t="str">
        <f>Raw_Data!F13</f>
        <v>Direct</v>
      </c>
      <c r="G13" s="50">
        <f>Raw_Data!G13</f>
        <v>133</v>
      </c>
      <c r="H13" s="50">
        <f>Raw_Data!H13</f>
        <v>292.07</v>
      </c>
      <c r="I13" s="50">
        <f>Raw_Data!I13</f>
        <v>38845.31</v>
      </c>
      <c r="J13" s="50">
        <f>Raw_Data!J13</f>
        <v>19022.93</v>
      </c>
      <c r="K13" s="48" t="str">
        <f t="shared" si="0"/>
        <v>2024-02</v>
      </c>
      <c r="L13" s="48" t="str">
        <f t="shared" si="1"/>
        <v>Q1-2024</v>
      </c>
      <c r="M13" s="50">
        <f t="shared" si="2"/>
        <v>19822.379999999997</v>
      </c>
      <c r="N13" s="51">
        <f t="shared" si="3"/>
        <v>0.51029017402615651</v>
      </c>
    </row>
    <row r="14" spans="1:14" ht="15">
      <c r="A14" s="48">
        <f>Raw_Data!A14</f>
        <v>13</v>
      </c>
      <c r="B14" s="49">
        <f>Raw_Data!B14</f>
        <v>45334</v>
      </c>
      <c r="C14" s="48" t="str">
        <f>Raw_Data!C14</f>
        <v>UK</v>
      </c>
      <c r="D14" s="48" t="str">
        <f>Raw_Data!D14</f>
        <v>Services</v>
      </c>
      <c r="E14" s="48" t="str">
        <f>Raw_Data!E14</f>
        <v>Enterprise</v>
      </c>
      <c r="F14" s="48" t="str">
        <f>Raw_Data!F14</f>
        <v>Direct</v>
      </c>
      <c r="G14" s="50">
        <f>Raw_Data!G14</f>
        <v>204</v>
      </c>
      <c r="H14" s="50">
        <f>Raw_Data!H14</f>
        <v>401.95</v>
      </c>
      <c r="I14" s="50">
        <f>Raw_Data!I14</f>
        <v>81997.8</v>
      </c>
      <c r="J14" s="50">
        <f>Raw_Data!J14</f>
        <v>44722.559999999998</v>
      </c>
      <c r="K14" s="48" t="str">
        <f t="shared" si="0"/>
        <v>2024-02</v>
      </c>
      <c r="L14" s="48" t="str">
        <f t="shared" si="1"/>
        <v>Q1-2024</v>
      </c>
      <c r="M14" s="50">
        <f t="shared" si="2"/>
        <v>37275.240000000005</v>
      </c>
      <c r="N14" s="51">
        <f t="shared" si="3"/>
        <v>0.45458829383227362</v>
      </c>
    </row>
    <row r="15" spans="1:14" ht="15">
      <c r="A15" s="48">
        <f>Raw_Data!A15</f>
        <v>14</v>
      </c>
      <c r="B15" s="49">
        <f>Raw_Data!B15</f>
        <v>45337</v>
      </c>
      <c r="C15" s="48" t="str">
        <f>Raw_Data!C15</f>
        <v>UK</v>
      </c>
      <c r="D15" s="48" t="str">
        <f>Raw_Data!D15</f>
        <v>Services</v>
      </c>
      <c r="E15" s="48" t="str">
        <f>Raw_Data!E15</f>
        <v>Public Sector</v>
      </c>
      <c r="F15" s="48" t="str">
        <f>Raw_Data!F15</f>
        <v>Partner</v>
      </c>
      <c r="G15" s="50">
        <f>Raw_Data!G15</f>
        <v>155</v>
      </c>
      <c r="H15" s="50">
        <f>Raw_Data!H15</f>
        <v>346.68</v>
      </c>
      <c r="I15" s="50">
        <f>Raw_Data!I15</f>
        <v>53735.4</v>
      </c>
      <c r="J15" s="50">
        <f>Raw_Data!J15</f>
        <v>28420.66</v>
      </c>
      <c r="K15" s="48" t="str">
        <f t="shared" si="0"/>
        <v>2024-02</v>
      </c>
      <c r="L15" s="48" t="str">
        <f t="shared" si="1"/>
        <v>Q1-2024</v>
      </c>
      <c r="M15" s="50">
        <f t="shared" si="2"/>
        <v>25314.74</v>
      </c>
      <c r="N15" s="51">
        <f t="shared" si="3"/>
        <v>0.47109987084863986</v>
      </c>
    </row>
    <row r="16" spans="1:14" ht="15">
      <c r="A16" s="48">
        <f>Raw_Data!A16</f>
        <v>15</v>
      </c>
      <c r="B16" s="49">
        <f>Raw_Data!B16</f>
        <v>45340</v>
      </c>
      <c r="C16" s="48" t="str">
        <f>Raw_Data!C16</f>
        <v>US</v>
      </c>
      <c r="D16" s="48" t="str">
        <f>Raw_Data!D16</f>
        <v>Training</v>
      </c>
      <c r="E16" s="48" t="str">
        <f>Raw_Data!E16</f>
        <v>Enterprise</v>
      </c>
      <c r="F16" s="48" t="str">
        <f>Raw_Data!F16</f>
        <v>Online</v>
      </c>
      <c r="G16" s="50">
        <f>Raw_Data!G16</f>
        <v>112</v>
      </c>
      <c r="H16" s="50">
        <f>Raw_Data!H16</f>
        <v>313.75</v>
      </c>
      <c r="I16" s="50">
        <f>Raw_Data!I16</f>
        <v>35140</v>
      </c>
      <c r="J16" s="50">
        <f>Raw_Data!J16</f>
        <v>16157.72</v>
      </c>
      <c r="K16" s="48" t="str">
        <f t="shared" si="0"/>
        <v>2024-02</v>
      </c>
      <c r="L16" s="48" t="str">
        <f t="shared" si="1"/>
        <v>Q1-2024</v>
      </c>
      <c r="M16" s="50">
        <f t="shared" si="2"/>
        <v>18982.28</v>
      </c>
      <c r="N16" s="51">
        <f t="shared" si="3"/>
        <v>0.54019009675583374</v>
      </c>
    </row>
    <row r="17" spans="1:14" ht="15">
      <c r="A17" s="48">
        <f>Raw_Data!A17</f>
        <v>16</v>
      </c>
      <c r="B17" s="49">
        <f>Raw_Data!B17</f>
        <v>45341</v>
      </c>
      <c r="C17" s="48" t="str">
        <f>Raw_Data!C17</f>
        <v>EU</v>
      </c>
      <c r="D17" s="48" t="str">
        <f>Raw_Data!D17</f>
        <v>Services</v>
      </c>
      <c r="E17" s="48" t="str">
        <f>Raw_Data!E17</f>
        <v>Mid-Market</v>
      </c>
      <c r="F17" s="48" t="str">
        <f>Raw_Data!F17</f>
        <v>Direct</v>
      </c>
      <c r="G17" s="50">
        <f>Raw_Data!G17</f>
        <v>139</v>
      </c>
      <c r="H17" s="50">
        <f>Raw_Data!H17</f>
        <v>369.91</v>
      </c>
      <c r="I17" s="50">
        <f>Raw_Data!I17</f>
        <v>51417.49</v>
      </c>
      <c r="J17" s="50">
        <f>Raw_Data!J17</f>
        <v>27346.51</v>
      </c>
      <c r="K17" s="48" t="str">
        <f t="shared" si="0"/>
        <v>2024-02</v>
      </c>
      <c r="L17" s="48" t="str">
        <f t="shared" si="1"/>
        <v>Q1-2024</v>
      </c>
      <c r="M17" s="50">
        <f>I17-J17</f>
        <v>24070.98</v>
      </c>
      <c r="N17" s="51">
        <f t="shared" si="3"/>
        <v>0.46814770615990786</v>
      </c>
    </row>
    <row r="18" spans="1:14" ht="15">
      <c r="A18" s="48">
        <f>Raw_Data!A18</f>
        <v>17</v>
      </c>
      <c r="B18" s="49">
        <f>Raw_Data!B18</f>
        <v>45345</v>
      </c>
      <c r="C18" s="48" t="str">
        <f>Raw_Data!C18</f>
        <v>UK</v>
      </c>
      <c r="D18" s="48" t="str">
        <f>Raw_Data!D18</f>
        <v>Services</v>
      </c>
      <c r="E18" s="48" t="str">
        <f>Raw_Data!E18</f>
        <v>Public Sector</v>
      </c>
      <c r="F18" s="48" t="str">
        <f>Raw_Data!F18</f>
        <v>Online</v>
      </c>
      <c r="G18" s="50">
        <f>Raw_Data!G18</f>
        <v>109</v>
      </c>
      <c r="H18" s="50">
        <f>Raw_Data!H18</f>
        <v>358.63</v>
      </c>
      <c r="I18" s="50">
        <f>Raw_Data!I18</f>
        <v>39090.67</v>
      </c>
      <c r="J18" s="50">
        <f>Raw_Data!J18</f>
        <v>21136.71</v>
      </c>
      <c r="K18" s="48" t="str">
        <f t="shared" si="0"/>
        <v>2024-02</v>
      </c>
      <c r="L18" s="48" t="str">
        <f t="shared" si="1"/>
        <v>Q1-2024</v>
      </c>
      <c r="M18" s="50">
        <f t="shared" si="2"/>
        <v>17953.96</v>
      </c>
      <c r="N18" s="51">
        <f t="shared" si="3"/>
        <v>0.45929015798398953</v>
      </c>
    </row>
    <row r="19" spans="1:14" ht="15">
      <c r="A19" s="48">
        <f>Raw_Data!A19</f>
        <v>18</v>
      </c>
      <c r="B19" s="49">
        <f>Raw_Data!B19</f>
        <v>45347</v>
      </c>
      <c r="C19" s="48" t="str">
        <f>Raw_Data!C19</f>
        <v>UK</v>
      </c>
      <c r="D19" s="48" t="str">
        <f>Raw_Data!D19</f>
        <v>Training</v>
      </c>
      <c r="E19" s="48" t="str">
        <f>Raw_Data!E19</f>
        <v>Public Sector</v>
      </c>
      <c r="F19" s="48" t="str">
        <f>Raw_Data!F19</f>
        <v>Partner</v>
      </c>
      <c r="G19" s="50">
        <f>Raw_Data!G19</f>
        <v>117</v>
      </c>
      <c r="H19" s="50">
        <f>Raw_Data!H19</f>
        <v>213.57</v>
      </c>
      <c r="I19" s="50">
        <f>Raw_Data!I19</f>
        <v>24987.69</v>
      </c>
      <c r="J19" s="50">
        <f>Raw_Data!J19</f>
        <v>12026.55</v>
      </c>
      <c r="K19" s="48" t="str">
        <f t="shared" si="0"/>
        <v>2024-02</v>
      </c>
      <c r="L19" s="48" t="str">
        <f t="shared" si="1"/>
        <v>Q1-2024</v>
      </c>
      <c r="M19" s="50">
        <f t="shared" si="2"/>
        <v>12961.14</v>
      </c>
      <c r="N19" s="51">
        <f t="shared" si="3"/>
        <v>0.51870100837652455</v>
      </c>
    </row>
    <row r="20" spans="1:14" ht="15">
      <c r="A20" s="48">
        <f>Raw_Data!A20</f>
        <v>19</v>
      </c>
      <c r="B20" s="49">
        <f>Raw_Data!B20</f>
        <v>45352</v>
      </c>
      <c r="C20" s="48" t="str">
        <f>Raw_Data!C20</f>
        <v>UK</v>
      </c>
      <c r="D20" s="48" t="str">
        <f>Raw_Data!D20</f>
        <v>Services</v>
      </c>
      <c r="E20" s="48" t="str">
        <f>Raw_Data!E20</f>
        <v>SMB</v>
      </c>
      <c r="F20" s="48" t="str">
        <f>Raw_Data!F20</f>
        <v>Direct</v>
      </c>
      <c r="G20" s="50">
        <f>Raw_Data!G20</f>
        <v>127</v>
      </c>
      <c r="H20" s="50">
        <f>Raw_Data!H20</f>
        <v>282.47000000000003</v>
      </c>
      <c r="I20" s="50">
        <f>Raw_Data!I20</f>
        <v>35873.69</v>
      </c>
      <c r="J20" s="50">
        <f>Raw_Data!J20</f>
        <v>19447.25</v>
      </c>
      <c r="K20" s="48" t="str">
        <f t="shared" si="0"/>
        <v>2024-03</v>
      </c>
      <c r="L20" s="48" t="str">
        <f t="shared" si="1"/>
        <v>Q1-2024</v>
      </c>
      <c r="M20" s="50">
        <f t="shared" si="2"/>
        <v>16426.440000000002</v>
      </c>
      <c r="N20" s="51">
        <f t="shared" si="3"/>
        <v>0.45789658103194852</v>
      </c>
    </row>
    <row r="21" spans="1:14" ht="15">
      <c r="A21" s="48">
        <f>Raw_Data!A21</f>
        <v>20</v>
      </c>
      <c r="B21" s="49">
        <f>Raw_Data!B21</f>
        <v>45352</v>
      </c>
      <c r="C21" s="48" t="str">
        <f>Raw_Data!C21</f>
        <v>UK</v>
      </c>
      <c r="D21" s="48" t="str">
        <f>Raw_Data!D21</f>
        <v>Software</v>
      </c>
      <c r="E21" s="48" t="str">
        <f>Raw_Data!E21</f>
        <v>Mid-Market</v>
      </c>
      <c r="F21" s="48" t="str">
        <f>Raw_Data!F21</f>
        <v>Online</v>
      </c>
      <c r="G21" s="50">
        <f>Raw_Data!G21</f>
        <v>40</v>
      </c>
      <c r="H21" s="50">
        <f>Raw_Data!H21</f>
        <v>469.76</v>
      </c>
      <c r="I21" s="50">
        <f>Raw_Data!I21</f>
        <v>18790.400000000001</v>
      </c>
      <c r="J21" s="50">
        <f>Raw_Data!J21</f>
        <v>8077.86</v>
      </c>
      <c r="K21" s="48" t="str">
        <f t="shared" si="0"/>
        <v>2024-03</v>
      </c>
      <c r="L21" s="48" t="str">
        <f t="shared" si="1"/>
        <v>Q1-2024</v>
      </c>
      <c r="M21" s="50">
        <f t="shared" si="2"/>
        <v>10712.54</v>
      </c>
      <c r="N21" s="51">
        <f t="shared" si="3"/>
        <v>0.57010707595367849</v>
      </c>
    </row>
    <row r="22" spans="1:14" ht="15">
      <c r="A22" s="48">
        <f>Raw_Data!A22</f>
        <v>21</v>
      </c>
      <c r="B22" s="49">
        <f>Raw_Data!B22</f>
        <v>45355</v>
      </c>
      <c r="C22" s="48" t="str">
        <f>Raw_Data!C22</f>
        <v>EU</v>
      </c>
      <c r="D22" s="48" t="str">
        <f>Raw_Data!D22</f>
        <v>Training</v>
      </c>
      <c r="E22" s="48" t="str">
        <f>Raw_Data!E22</f>
        <v>Mid-Market</v>
      </c>
      <c r="F22" s="48" t="str">
        <f>Raw_Data!F22</f>
        <v>Online</v>
      </c>
      <c r="G22" s="50">
        <f>Raw_Data!G22</f>
        <v>79</v>
      </c>
      <c r="H22" s="50">
        <f>Raw_Data!H22</f>
        <v>238.01</v>
      </c>
      <c r="I22" s="50">
        <f>Raw_Data!I22</f>
        <v>18802.79</v>
      </c>
      <c r="J22" s="50">
        <f>Raw_Data!J22</f>
        <v>9197.35</v>
      </c>
      <c r="K22" s="48" t="str">
        <f t="shared" si="0"/>
        <v>2024-03</v>
      </c>
      <c r="L22" s="48" t="str">
        <f t="shared" si="1"/>
        <v>Q1-2024</v>
      </c>
      <c r="M22" s="50">
        <f t="shared" si="2"/>
        <v>9605.44</v>
      </c>
      <c r="N22" s="51">
        <f t="shared" si="3"/>
        <v>0.51085184698653763</v>
      </c>
    </row>
    <row r="23" spans="1:14" ht="15">
      <c r="A23" s="48">
        <f>Raw_Data!A23</f>
        <v>22</v>
      </c>
      <c r="B23" s="49">
        <f>Raw_Data!B23</f>
        <v>45361</v>
      </c>
      <c r="C23" s="48" t="str">
        <f>Raw_Data!C23</f>
        <v>UK</v>
      </c>
      <c r="D23" s="48" t="str">
        <f>Raw_Data!D23</f>
        <v>Software</v>
      </c>
      <c r="E23" s="48" t="str">
        <f>Raw_Data!E23</f>
        <v>Public Sector</v>
      </c>
      <c r="F23" s="48" t="str">
        <f>Raw_Data!F23</f>
        <v>Partner</v>
      </c>
      <c r="G23" s="50">
        <f>Raw_Data!G23</f>
        <v>137</v>
      </c>
      <c r="H23" s="50">
        <f>Raw_Data!H23</f>
        <v>484.77</v>
      </c>
      <c r="I23" s="50">
        <f>Raw_Data!I23</f>
        <v>66413.490000000005</v>
      </c>
      <c r="J23" s="50">
        <f>Raw_Data!J23</f>
        <v>26272.01</v>
      </c>
      <c r="K23" s="48" t="str">
        <f t="shared" si="0"/>
        <v>2024-03</v>
      </c>
      <c r="L23" s="48" t="str">
        <f t="shared" si="1"/>
        <v>Q1-2024</v>
      </c>
      <c r="M23" s="50">
        <f t="shared" si="2"/>
        <v>40141.48000000001</v>
      </c>
      <c r="N23" s="51">
        <f t="shared" si="3"/>
        <v>0.60441756637092869</v>
      </c>
    </row>
    <row r="24" spans="1:14" ht="15">
      <c r="A24" s="48">
        <f>Raw_Data!A24</f>
        <v>23</v>
      </c>
      <c r="B24" s="49">
        <f>Raw_Data!B24</f>
        <v>45361</v>
      </c>
      <c r="C24" s="48" t="str">
        <f>Raw_Data!C24</f>
        <v>US</v>
      </c>
      <c r="D24" s="48" t="str">
        <f>Raw_Data!D24</f>
        <v>Hardware</v>
      </c>
      <c r="E24" s="48" t="str">
        <f>Raw_Data!E24</f>
        <v>Public Sector</v>
      </c>
      <c r="F24" s="48" t="str">
        <f>Raw_Data!F24</f>
        <v>Online</v>
      </c>
      <c r="G24" s="50">
        <f>Raw_Data!G24</f>
        <v>56</v>
      </c>
      <c r="H24" s="50">
        <f>Raw_Data!H24</f>
        <v>696.03</v>
      </c>
      <c r="I24" s="50">
        <f>Raw_Data!I24</f>
        <v>38977.68</v>
      </c>
      <c r="J24" s="50">
        <f>Raw_Data!J24</f>
        <v>25855.41</v>
      </c>
      <c r="K24" s="48" t="str">
        <f t="shared" si="0"/>
        <v>2024-03</v>
      </c>
      <c r="L24" s="48" t="str">
        <f t="shared" si="1"/>
        <v>Q1-2024</v>
      </c>
      <c r="M24" s="50">
        <f t="shared" si="2"/>
        <v>13122.27</v>
      </c>
      <c r="N24" s="51">
        <f t="shared" si="3"/>
        <v>0.33666113529589242</v>
      </c>
    </row>
    <row r="25" spans="1:14" ht="15">
      <c r="A25" s="48">
        <f>Raw_Data!A25</f>
        <v>24</v>
      </c>
      <c r="B25" s="49">
        <f>Raw_Data!B25</f>
        <v>45368</v>
      </c>
      <c r="C25" s="48" t="str">
        <f>Raw_Data!C25</f>
        <v>US</v>
      </c>
      <c r="D25" s="48" t="str">
        <f>Raw_Data!D25</f>
        <v>Services</v>
      </c>
      <c r="E25" s="48" t="str">
        <f>Raw_Data!E25</f>
        <v>SMB</v>
      </c>
      <c r="F25" s="48" t="str">
        <f>Raw_Data!F25</f>
        <v>Online</v>
      </c>
      <c r="G25" s="50">
        <f>Raw_Data!G25</f>
        <v>91</v>
      </c>
      <c r="H25" s="50">
        <f>Raw_Data!H25</f>
        <v>364.88</v>
      </c>
      <c r="I25" s="50">
        <f>Raw_Data!I25</f>
        <v>33204.080000000002</v>
      </c>
      <c r="J25" s="50">
        <f>Raw_Data!J25</f>
        <v>19129.41</v>
      </c>
      <c r="K25" s="48" t="str">
        <f t="shared" si="0"/>
        <v>2024-03</v>
      </c>
      <c r="L25" s="48" t="str">
        <f t="shared" si="1"/>
        <v>Q1-2024</v>
      </c>
      <c r="M25" s="50">
        <f t="shared" si="2"/>
        <v>14074.670000000002</v>
      </c>
      <c r="N25" s="51">
        <f t="shared" si="3"/>
        <v>0.42388375163534125</v>
      </c>
    </row>
    <row r="26" spans="1:14" ht="15">
      <c r="A26" s="48">
        <f>Raw_Data!A26</f>
        <v>25</v>
      </c>
      <c r="B26" s="49">
        <f>Raw_Data!B26</f>
        <v>45369</v>
      </c>
      <c r="C26" s="48" t="str">
        <f>Raw_Data!C26</f>
        <v>US</v>
      </c>
      <c r="D26" s="48" t="str">
        <f>Raw_Data!D26</f>
        <v>Services</v>
      </c>
      <c r="E26" s="48" t="str">
        <f>Raw_Data!E26</f>
        <v>Enterprise</v>
      </c>
      <c r="F26" s="48" t="str">
        <f>Raw_Data!F26</f>
        <v>Direct</v>
      </c>
      <c r="G26" s="50">
        <f>Raw_Data!G26</f>
        <v>151</v>
      </c>
      <c r="H26" s="50">
        <f>Raw_Data!H26</f>
        <v>491.38</v>
      </c>
      <c r="I26" s="50">
        <f>Raw_Data!I26</f>
        <v>74198.38</v>
      </c>
      <c r="J26" s="50">
        <f>Raw_Data!J26</f>
        <v>41007.61</v>
      </c>
      <c r="K26" s="48" t="str">
        <f t="shared" si="0"/>
        <v>2024-03</v>
      </c>
      <c r="L26" s="48" t="str">
        <f t="shared" si="1"/>
        <v>Q1-2024</v>
      </c>
      <c r="M26" s="50">
        <f t="shared" si="2"/>
        <v>33190.770000000004</v>
      </c>
      <c r="N26" s="51">
        <f t="shared" si="3"/>
        <v>0.44732472595762873</v>
      </c>
    </row>
    <row r="27" spans="1:14" ht="15">
      <c r="A27" s="48">
        <f>Raw_Data!A27</f>
        <v>26</v>
      </c>
      <c r="B27" s="49">
        <f>Raw_Data!B27</f>
        <v>45371</v>
      </c>
      <c r="C27" s="48" t="str">
        <f>Raw_Data!C27</f>
        <v>EU</v>
      </c>
      <c r="D27" s="48" t="str">
        <f>Raw_Data!D27</f>
        <v>Services</v>
      </c>
      <c r="E27" s="48" t="str">
        <f>Raw_Data!E27</f>
        <v>Public Sector</v>
      </c>
      <c r="F27" s="48" t="str">
        <f>Raw_Data!F27</f>
        <v>Online</v>
      </c>
      <c r="G27" s="50">
        <f>Raw_Data!G27</f>
        <v>220</v>
      </c>
      <c r="H27" s="50">
        <f>Raw_Data!H27</f>
        <v>377.06</v>
      </c>
      <c r="I27" s="50">
        <f>Raw_Data!I27</f>
        <v>82953.2</v>
      </c>
      <c r="J27" s="50">
        <f>Raw_Data!J27</f>
        <v>45926.75</v>
      </c>
      <c r="K27" s="48" t="str">
        <f t="shared" si="0"/>
        <v>2024-03</v>
      </c>
      <c r="L27" s="48" t="str">
        <f t="shared" si="1"/>
        <v>Q1-2024</v>
      </c>
      <c r="M27" s="50">
        <f t="shared" si="2"/>
        <v>37026.449999999997</v>
      </c>
      <c r="N27" s="51">
        <f t="shared" si="3"/>
        <v>0.44635348606202047</v>
      </c>
    </row>
    <row r="28" spans="1:14" ht="15">
      <c r="A28" s="48">
        <f>Raw_Data!A28</f>
        <v>27</v>
      </c>
      <c r="B28" s="49">
        <f>Raw_Data!B28</f>
        <v>45375</v>
      </c>
      <c r="C28" s="48" t="str">
        <f>Raw_Data!C28</f>
        <v>UK</v>
      </c>
      <c r="D28" s="48" t="str">
        <f>Raw_Data!D28</f>
        <v>Software</v>
      </c>
      <c r="E28" s="48" t="str">
        <f>Raw_Data!E28</f>
        <v>Enterprise</v>
      </c>
      <c r="F28" s="48" t="str">
        <f>Raw_Data!F28</f>
        <v>Partner</v>
      </c>
      <c r="G28" s="50">
        <f>Raw_Data!G28</f>
        <v>81</v>
      </c>
      <c r="H28" s="50">
        <f>Raw_Data!H28</f>
        <v>551.44000000000005</v>
      </c>
      <c r="I28" s="50">
        <f>Raw_Data!I28</f>
        <v>44666.64</v>
      </c>
      <c r="J28" s="50">
        <f>Raw_Data!J28</f>
        <v>19176.91</v>
      </c>
      <c r="K28" s="48" t="str">
        <f t="shared" si="0"/>
        <v>2024-03</v>
      </c>
      <c r="L28" s="48" t="str">
        <f t="shared" si="1"/>
        <v>Q1-2024</v>
      </c>
      <c r="M28" s="50">
        <f t="shared" si="2"/>
        <v>25489.73</v>
      </c>
      <c r="N28" s="51">
        <f t="shared" si="3"/>
        <v>0.5706659377110076</v>
      </c>
    </row>
    <row r="29" spans="1:14" ht="15">
      <c r="A29" s="48">
        <f>Raw_Data!A29</f>
        <v>28</v>
      </c>
      <c r="B29" s="49">
        <f>Raw_Data!B29</f>
        <v>45378</v>
      </c>
      <c r="C29" s="48" t="str">
        <f>Raw_Data!C29</f>
        <v>APAC</v>
      </c>
      <c r="D29" s="48" t="str">
        <f>Raw_Data!D29</f>
        <v>Hardware</v>
      </c>
      <c r="E29" s="48" t="str">
        <f>Raw_Data!E29</f>
        <v>Enterprise</v>
      </c>
      <c r="F29" s="48" t="str">
        <f>Raw_Data!F29</f>
        <v>Direct</v>
      </c>
      <c r="G29" s="50">
        <f>Raw_Data!G29</f>
        <v>71</v>
      </c>
      <c r="H29" s="50">
        <f>Raw_Data!H29</f>
        <v>627.69000000000005</v>
      </c>
      <c r="I29" s="50">
        <f>Raw_Data!I29</f>
        <v>44565.99</v>
      </c>
      <c r="J29" s="50">
        <f>Raw_Data!J29</f>
        <v>30329.62</v>
      </c>
      <c r="K29" s="48" t="str">
        <f t="shared" si="0"/>
        <v>2024-03</v>
      </c>
      <c r="L29" s="48" t="str">
        <f t="shared" si="1"/>
        <v>Q1-2024</v>
      </c>
      <c r="M29" s="50">
        <f t="shared" si="2"/>
        <v>14236.369999999999</v>
      </c>
      <c r="N29" s="51">
        <f t="shared" si="3"/>
        <v>0.31944471557795528</v>
      </c>
    </row>
    <row r="30" spans="1:14" ht="15">
      <c r="A30" s="48">
        <f>Raw_Data!A30</f>
        <v>29</v>
      </c>
      <c r="B30" s="49">
        <f>Raw_Data!B30</f>
        <v>45381</v>
      </c>
      <c r="C30" s="48" t="str">
        <f>Raw_Data!C30</f>
        <v>EU</v>
      </c>
      <c r="D30" s="48" t="str">
        <f>Raw_Data!D30</f>
        <v>Training</v>
      </c>
      <c r="E30" s="48" t="str">
        <f>Raw_Data!E30</f>
        <v>SMB</v>
      </c>
      <c r="F30" s="48" t="str">
        <f>Raw_Data!F30</f>
        <v>Partner</v>
      </c>
      <c r="G30" s="50">
        <f>Raw_Data!G30</f>
        <v>182</v>
      </c>
      <c r="H30" s="50">
        <f>Raw_Data!H30</f>
        <v>189.41</v>
      </c>
      <c r="I30" s="50">
        <f>Raw_Data!I30</f>
        <v>34472.620000000003</v>
      </c>
      <c r="J30" s="50">
        <f>Raw_Data!J30</f>
        <v>16953.759999999998</v>
      </c>
      <c r="K30" s="48" t="str">
        <f t="shared" si="0"/>
        <v>2024-03</v>
      </c>
      <c r="L30" s="48" t="str">
        <f t="shared" si="1"/>
        <v>Q1-2024</v>
      </c>
      <c r="M30" s="50">
        <f t="shared" si="2"/>
        <v>17518.860000000004</v>
      </c>
      <c r="N30" s="51">
        <f t="shared" si="3"/>
        <v>0.50819635989373602</v>
      </c>
    </row>
    <row r="31" spans="1:14" ht="15">
      <c r="A31" s="48">
        <f>Raw_Data!A31</f>
        <v>30</v>
      </c>
      <c r="B31" s="49">
        <f>Raw_Data!B31</f>
        <v>45382</v>
      </c>
      <c r="C31" s="48" t="str">
        <f>Raw_Data!C31</f>
        <v>APAC</v>
      </c>
      <c r="D31" s="48" t="str">
        <f>Raw_Data!D31</f>
        <v>Services</v>
      </c>
      <c r="E31" s="48" t="str">
        <f>Raw_Data!E31</f>
        <v>Public Sector</v>
      </c>
      <c r="F31" s="48" t="str">
        <f>Raw_Data!F31</f>
        <v>Direct</v>
      </c>
      <c r="G31" s="50">
        <f>Raw_Data!G31</f>
        <v>126</v>
      </c>
      <c r="H31" s="50">
        <f>Raw_Data!H31</f>
        <v>347.15</v>
      </c>
      <c r="I31" s="50">
        <f>Raw_Data!I31</f>
        <v>43740.9</v>
      </c>
      <c r="J31" s="50">
        <f>Raw_Data!J31</f>
        <v>23690.67</v>
      </c>
      <c r="K31" s="48" t="str">
        <f t="shared" si="0"/>
        <v>2024-03</v>
      </c>
      <c r="L31" s="48" t="str">
        <f t="shared" si="1"/>
        <v>Q1-2024</v>
      </c>
      <c r="M31" s="50">
        <f t="shared" si="2"/>
        <v>20050.230000000003</v>
      </c>
      <c r="N31" s="51">
        <f t="shared" si="3"/>
        <v>0.45838631578225419</v>
      </c>
    </row>
    <row r="32" spans="1:14" ht="15">
      <c r="A32" s="48">
        <f>Raw_Data!A32</f>
        <v>31</v>
      </c>
      <c r="B32" s="49">
        <f>Raw_Data!B32</f>
        <v>45388</v>
      </c>
      <c r="C32" s="48" t="str">
        <f>Raw_Data!C32</f>
        <v>APAC</v>
      </c>
      <c r="D32" s="48" t="str">
        <f>Raw_Data!D32</f>
        <v>Training</v>
      </c>
      <c r="E32" s="48" t="str">
        <f>Raw_Data!E32</f>
        <v>SMB</v>
      </c>
      <c r="F32" s="48" t="str">
        <f>Raw_Data!F32</f>
        <v>Online</v>
      </c>
      <c r="G32" s="50">
        <f>Raw_Data!G32</f>
        <v>55</v>
      </c>
      <c r="H32" s="50">
        <f>Raw_Data!H32</f>
        <v>156.18</v>
      </c>
      <c r="I32" s="50">
        <f>Raw_Data!I32</f>
        <v>8589.9</v>
      </c>
      <c r="J32" s="50">
        <f>Raw_Data!J32</f>
        <v>3936.39</v>
      </c>
      <c r="K32" s="48" t="str">
        <f t="shared" si="0"/>
        <v>2024-04</v>
      </c>
      <c r="L32" s="48" t="str">
        <f t="shared" si="1"/>
        <v>Q2-2024</v>
      </c>
      <c r="M32" s="50">
        <f t="shared" si="2"/>
        <v>4653.51</v>
      </c>
      <c r="N32" s="51">
        <f t="shared" si="3"/>
        <v>0.54174204589110475</v>
      </c>
    </row>
    <row r="33" spans="1:14" ht="15">
      <c r="A33" s="48">
        <f>Raw_Data!A33</f>
        <v>32</v>
      </c>
      <c r="B33" s="49">
        <f>Raw_Data!B33</f>
        <v>45389</v>
      </c>
      <c r="C33" s="48" t="str">
        <f>Raw_Data!C33</f>
        <v>APAC</v>
      </c>
      <c r="D33" s="48" t="str">
        <f>Raw_Data!D33</f>
        <v>Services</v>
      </c>
      <c r="E33" s="48" t="str">
        <f>Raw_Data!E33</f>
        <v>Public Sector</v>
      </c>
      <c r="F33" s="48" t="str">
        <f>Raw_Data!F33</f>
        <v>Online</v>
      </c>
      <c r="G33" s="50">
        <f>Raw_Data!G33</f>
        <v>104</v>
      </c>
      <c r="H33" s="50">
        <f>Raw_Data!H33</f>
        <v>321.01</v>
      </c>
      <c r="I33" s="50">
        <f>Raw_Data!I33</f>
        <v>33385.040000000001</v>
      </c>
      <c r="J33" s="50">
        <f>Raw_Data!J33</f>
        <v>18550.02</v>
      </c>
      <c r="K33" s="48" t="str">
        <f t="shared" si="0"/>
        <v>2024-04</v>
      </c>
      <c r="L33" s="48" t="str">
        <f t="shared" si="1"/>
        <v>Q2-2024</v>
      </c>
      <c r="M33" s="50">
        <f t="shared" si="2"/>
        <v>14835.02</v>
      </c>
      <c r="N33" s="51">
        <f t="shared" si="3"/>
        <v>0.4443613067409834</v>
      </c>
    </row>
    <row r="34" spans="1:14" ht="15">
      <c r="A34" s="48">
        <f>Raw_Data!A34</f>
        <v>33</v>
      </c>
      <c r="B34" s="49">
        <f>Raw_Data!B34</f>
        <v>45391</v>
      </c>
      <c r="C34" s="48" t="str">
        <f>Raw_Data!C34</f>
        <v>UK</v>
      </c>
      <c r="D34" s="48" t="str">
        <f>Raw_Data!D34</f>
        <v>Software</v>
      </c>
      <c r="E34" s="48" t="str">
        <f>Raw_Data!E34</f>
        <v>Mid-Market</v>
      </c>
      <c r="F34" s="48" t="str">
        <f>Raw_Data!F34</f>
        <v>Partner</v>
      </c>
      <c r="G34" s="50">
        <f>Raw_Data!G34</f>
        <v>64</v>
      </c>
      <c r="H34" s="50">
        <f>Raw_Data!H34</f>
        <v>460.84</v>
      </c>
      <c r="I34" s="50">
        <f>Raw_Data!I34</f>
        <v>29493.759999999998</v>
      </c>
      <c r="J34" s="50">
        <f>Raw_Data!J34</f>
        <v>11907.15</v>
      </c>
      <c r="K34" s="48" t="str">
        <f t="shared" si="0"/>
        <v>2024-04</v>
      </c>
      <c r="L34" s="48" t="str">
        <f t="shared" si="1"/>
        <v>Q2-2024</v>
      </c>
      <c r="M34" s="50">
        <f t="shared" si="2"/>
        <v>17586.61</v>
      </c>
      <c r="N34" s="51">
        <f t="shared" si="3"/>
        <v>0.59628240007377842</v>
      </c>
    </row>
    <row r="35" spans="1:14" ht="15">
      <c r="A35" s="48">
        <f>Raw_Data!A35</f>
        <v>34</v>
      </c>
      <c r="B35" s="49">
        <f>Raw_Data!B35</f>
        <v>45396</v>
      </c>
      <c r="C35" s="48" t="str">
        <f>Raw_Data!C35</f>
        <v>EU</v>
      </c>
      <c r="D35" s="48" t="str">
        <f>Raw_Data!D35</f>
        <v>Hardware</v>
      </c>
      <c r="E35" s="48" t="str">
        <f>Raw_Data!E35</f>
        <v>Mid-Market</v>
      </c>
      <c r="F35" s="48" t="str">
        <f>Raw_Data!F35</f>
        <v>Online</v>
      </c>
      <c r="G35" s="50">
        <f>Raw_Data!G35</f>
        <v>98</v>
      </c>
      <c r="H35" s="50">
        <f>Raw_Data!H35</f>
        <v>580.29999999999995</v>
      </c>
      <c r="I35" s="50">
        <f>Raw_Data!I35</f>
        <v>56869.4</v>
      </c>
      <c r="J35" s="50">
        <f>Raw_Data!J35</f>
        <v>38513.99</v>
      </c>
      <c r="K35" s="48" t="str">
        <f t="shared" si="0"/>
        <v>2024-04</v>
      </c>
      <c r="L35" s="48" t="str">
        <f t="shared" si="1"/>
        <v>Q2-2024</v>
      </c>
      <c r="M35" s="50">
        <f t="shared" si="2"/>
        <v>18355.410000000003</v>
      </c>
      <c r="N35" s="51">
        <f t="shared" si="3"/>
        <v>0.32276426338241659</v>
      </c>
    </row>
    <row r="36" spans="1:14" ht="15">
      <c r="A36" s="48">
        <f>Raw_Data!A36</f>
        <v>35</v>
      </c>
      <c r="B36" s="49">
        <f>Raw_Data!B36</f>
        <v>45398</v>
      </c>
      <c r="C36" s="48" t="str">
        <f>Raw_Data!C36</f>
        <v>UK</v>
      </c>
      <c r="D36" s="48" t="str">
        <f>Raw_Data!D36</f>
        <v>Hardware</v>
      </c>
      <c r="E36" s="48" t="str">
        <f>Raw_Data!E36</f>
        <v>Public Sector</v>
      </c>
      <c r="F36" s="48" t="str">
        <f>Raw_Data!F36</f>
        <v>Online</v>
      </c>
      <c r="G36" s="50">
        <f>Raw_Data!G36</f>
        <v>164</v>
      </c>
      <c r="H36" s="50">
        <f>Raw_Data!H36</f>
        <v>594.85</v>
      </c>
      <c r="I36" s="50">
        <f>Raw_Data!I36</f>
        <v>97555.4</v>
      </c>
      <c r="J36" s="50">
        <f>Raw_Data!J36</f>
        <v>66687.839999999997</v>
      </c>
      <c r="K36" s="48" t="str">
        <f t="shared" si="0"/>
        <v>2024-04</v>
      </c>
      <c r="L36" s="48" t="str">
        <f t="shared" si="1"/>
        <v>Q2-2024</v>
      </c>
      <c r="M36" s="50">
        <f t="shared" si="2"/>
        <v>30867.559999999998</v>
      </c>
      <c r="N36" s="51">
        <f t="shared" si="3"/>
        <v>0.31641057286423918</v>
      </c>
    </row>
    <row r="37" spans="1:14" ht="15">
      <c r="A37" s="48">
        <f>Raw_Data!A37</f>
        <v>36</v>
      </c>
      <c r="B37" s="49">
        <f>Raw_Data!B37</f>
        <v>45404</v>
      </c>
      <c r="C37" s="48" t="str">
        <f>Raw_Data!C37</f>
        <v>EU</v>
      </c>
      <c r="D37" s="48" t="str">
        <f>Raw_Data!D37</f>
        <v>Services</v>
      </c>
      <c r="E37" s="48" t="str">
        <f>Raw_Data!E37</f>
        <v>SMB</v>
      </c>
      <c r="F37" s="48" t="str">
        <f>Raw_Data!F37</f>
        <v>Partner</v>
      </c>
      <c r="G37" s="50">
        <f>Raw_Data!G37</f>
        <v>213</v>
      </c>
      <c r="H37" s="50">
        <f>Raw_Data!H37</f>
        <v>303.63</v>
      </c>
      <c r="I37" s="50">
        <f>Raw_Data!I37</f>
        <v>64673.19</v>
      </c>
      <c r="J37" s="50">
        <f>Raw_Data!J37</f>
        <v>33646.589999999997</v>
      </c>
      <c r="K37" s="48" t="str">
        <f t="shared" si="0"/>
        <v>2024-04</v>
      </c>
      <c r="L37" s="48" t="str">
        <f t="shared" si="1"/>
        <v>Q2-2024</v>
      </c>
      <c r="M37" s="50">
        <f t="shared" si="2"/>
        <v>31026.600000000006</v>
      </c>
      <c r="N37" s="51">
        <f t="shared" si="3"/>
        <v>0.47974438867172015</v>
      </c>
    </row>
    <row r="38" spans="1:14" ht="15">
      <c r="A38" s="48">
        <f>Raw_Data!A38</f>
        <v>37</v>
      </c>
      <c r="B38" s="49">
        <f>Raw_Data!B38</f>
        <v>45404</v>
      </c>
      <c r="C38" s="48" t="str">
        <f>Raw_Data!C38</f>
        <v>EU</v>
      </c>
      <c r="D38" s="48" t="str">
        <f>Raw_Data!D38</f>
        <v>Services</v>
      </c>
      <c r="E38" s="48" t="str">
        <f>Raw_Data!E38</f>
        <v>Public Sector</v>
      </c>
      <c r="F38" s="48" t="str">
        <f>Raw_Data!F38</f>
        <v>Online</v>
      </c>
      <c r="G38" s="50">
        <f>Raw_Data!G38</f>
        <v>200</v>
      </c>
      <c r="H38" s="50">
        <f>Raw_Data!H38</f>
        <v>369.39</v>
      </c>
      <c r="I38" s="50">
        <f>Raw_Data!I38</f>
        <v>73878</v>
      </c>
      <c r="J38" s="50">
        <f>Raw_Data!J38</f>
        <v>38713.11</v>
      </c>
      <c r="K38" s="48" t="str">
        <f t="shared" si="0"/>
        <v>2024-04</v>
      </c>
      <c r="L38" s="48" t="str">
        <f t="shared" si="1"/>
        <v>Q2-2024</v>
      </c>
      <c r="M38" s="50">
        <f t="shared" si="2"/>
        <v>35164.89</v>
      </c>
      <c r="N38" s="51">
        <f t="shared" si="3"/>
        <v>0.47598594980914483</v>
      </c>
    </row>
    <row r="39" spans="1:14" ht="15">
      <c r="A39" s="48">
        <f>Raw_Data!A39</f>
        <v>38</v>
      </c>
      <c r="B39" s="49">
        <f>Raw_Data!B39</f>
        <v>45410</v>
      </c>
      <c r="C39" s="48" t="str">
        <f>Raw_Data!C39</f>
        <v>APAC</v>
      </c>
      <c r="D39" s="48" t="str">
        <f>Raw_Data!D39</f>
        <v>Software</v>
      </c>
      <c r="E39" s="48" t="str">
        <f>Raw_Data!E39</f>
        <v>SMB</v>
      </c>
      <c r="F39" s="48" t="str">
        <f>Raw_Data!F39</f>
        <v>Direct</v>
      </c>
      <c r="G39" s="50">
        <f>Raw_Data!G39</f>
        <v>63</v>
      </c>
      <c r="H39" s="50">
        <f>Raw_Data!H39</f>
        <v>363.46</v>
      </c>
      <c r="I39" s="50">
        <f>Raw_Data!I39</f>
        <v>22897.98</v>
      </c>
      <c r="J39" s="50">
        <f>Raw_Data!J39</f>
        <v>10079.620000000001</v>
      </c>
      <c r="K39" s="48" t="str">
        <f t="shared" si="0"/>
        <v>2024-04</v>
      </c>
      <c r="L39" s="48" t="str">
        <f t="shared" si="1"/>
        <v>Q2-2024</v>
      </c>
      <c r="M39" s="50">
        <f t="shared" si="2"/>
        <v>12818.359999999999</v>
      </c>
      <c r="N39" s="51">
        <f t="shared" si="3"/>
        <v>0.55980309180111076</v>
      </c>
    </row>
    <row r="40" spans="1:14" ht="15">
      <c r="A40" s="48">
        <f>Raw_Data!A40</f>
        <v>39</v>
      </c>
      <c r="B40" s="49">
        <f>Raw_Data!B40</f>
        <v>45413</v>
      </c>
      <c r="C40" s="48" t="str">
        <f>Raw_Data!C40</f>
        <v>APAC</v>
      </c>
      <c r="D40" s="48" t="str">
        <f>Raw_Data!D40</f>
        <v>Software</v>
      </c>
      <c r="E40" s="48" t="str">
        <f>Raw_Data!E40</f>
        <v>SMB</v>
      </c>
      <c r="F40" s="48" t="str">
        <f>Raw_Data!F40</f>
        <v>Partner</v>
      </c>
      <c r="G40" s="50">
        <f>Raw_Data!G40</f>
        <v>98</v>
      </c>
      <c r="H40" s="50">
        <f>Raw_Data!H40</f>
        <v>365.37</v>
      </c>
      <c r="I40" s="50">
        <f>Raw_Data!I40</f>
        <v>35806.26</v>
      </c>
      <c r="J40" s="50">
        <f>Raw_Data!J40</f>
        <v>15141.07</v>
      </c>
      <c r="K40" s="48" t="str">
        <f t="shared" si="0"/>
        <v>2024-05</v>
      </c>
      <c r="L40" s="48" t="str">
        <f t="shared" si="1"/>
        <v>Q2-2024</v>
      </c>
      <c r="M40" s="50">
        <f t="shared" si="2"/>
        <v>20665.190000000002</v>
      </c>
      <c r="N40" s="51">
        <f t="shared" si="3"/>
        <v>0.57713902541064055</v>
      </c>
    </row>
    <row r="41" spans="1:14" ht="15">
      <c r="A41" s="48">
        <f>Raw_Data!A41</f>
        <v>40</v>
      </c>
      <c r="B41" s="49">
        <f>Raw_Data!B41</f>
        <v>45416</v>
      </c>
      <c r="C41" s="48" t="str">
        <f>Raw_Data!C41</f>
        <v>EU</v>
      </c>
      <c r="D41" s="48" t="str">
        <f>Raw_Data!D41</f>
        <v>Hardware</v>
      </c>
      <c r="E41" s="48" t="str">
        <f>Raw_Data!E41</f>
        <v>Public Sector</v>
      </c>
      <c r="F41" s="48" t="str">
        <f>Raw_Data!F41</f>
        <v>Online</v>
      </c>
      <c r="G41" s="50">
        <f>Raw_Data!G41</f>
        <v>151</v>
      </c>
      <c r="H41" s="50">
        <f>Raw_Data!H41</f>
        <v>624</v>
      </c>
      <c r="I41" s="50">
        <f>Raw_Data!I41</f>
        <v>94224</v>
      </c>
      <c r="J41" s="50">
        <f>Raw_Data!J41</f>
        <v>64355.360000000001</v>
      </c>
      <c r="K41" s="48" t="str">
        <f t="shared" si="0"/>
        <v>2024-05</v>
      </c>
      <c r="L41" s="48" t="str">
        <f t="shared" si="1"/>
        <v>Q2-2024</v>
      </c>
      <c r="M41" s="50">
        <f t="shared" si="2"/>
        <v>29868.639999999999</v>
      </c>
      <c r="N41" s="51">
        <f t="shared" si="3"/>
        <v>0.31699609441331295</v>
      </c>
    </row>
    <row r="42" spans="1:14" ht="15">
      <c r="A42" s="48">
        <f>Raw_Data!A42</f>
        <v>41</v>
      </c>
      <c r="B42" s="49">
        <f>Raw_Data!B42</f>
        <v>45416</v>
      </c>
      <c r="C42" s="48" t="str">
        <f>Raw_Data!C42</f>
        <v>US</v>
      </c>
      <c r="D42" s="48" t="str">
        <f>Raw_Data!D42</f>
        <v>Services</v>
      </c>
      <c r="E42" s="48" t="str">
        <f>Raw_Data!E42</f>
        <v>Public Sector</v>
      </c>
      <c r="F42" s="48" t="str">
        <f>Raw_Data!F42</f>
        <v>Direct</v>
      </c>
      <c r="G42" s="50">
        <f>Raw_Data!G42</f>
        <v>121</v>
      </c>
      <c r="H42" s="50">
        <f>Raw_Data!H42</f>
        <v>393.44</v>
      </c>
      <c r="I42" s="50">
        <f>Raw_Data!I42</f>
        <v>47606.239999999998</v>
      </c>
      <c r="J42" s="50">
        <f>Raw_Data!J42</f>
        <v>26123.34</v>
      </c>
      <c r="K42" s="48" t="str">
        <f t="shared" si="0"/>
        <v>2024-05</v>
      </c>
      <c r="L42" s="48" t="str">
        <f t="shared" si="1"/>
        <v>Q2-2024</v>
      </c>
      <c r="M42" s="50">
        <f t="shared" si="2"/>
        <v>21482.899999999998</v>
      </c>
      <c r="N42" s="51">
        <f t="shared" si="3"/>
        <v>0.45126227150054277</v>
      </c>
    </row>
    <row r="43" spans="1:14" ht="15">
      <c r="A43" s="48">
        <f>Raw_Data!A43</f>
        <v>42</v>
      </c>
      <c r="B43" s="49">
        <f>Raw_Data!B43</f>
        <v>45418</v>
      </c>
      <c r="C43" s="48" t="str">
        <f>Raw_Data!C43</f>
        <v>EU</v>
      </c>
      <c r="D43" s="48" t="str">
        <f>Raw_Data!D43</f>
        <v>Training</v>
      </c>
      <c r="E43" s="48" t="str">
        <f>Raw_Data!E43</f>
        <v>SMB</v>
      </c>
      <c r="F43" s="48" t="str">
        <f>Raw_Data!F43</f>
        <v>Direct</v>
      </c>
      <c r="G43" s="50">
        <f>Raw_Data!G43</f>
        <v>186</v>
      </c>
      <c r="H43" s="50">
        <f>Raw_Data!H43</f>
        <v>180.7</v>
      </c>
      <c r="I43" s="50">
        <f>Raw_Data!I43</f>
        <v>33610.199999999997</v>
      </c>
      <c r="J43" s="50">
        <f>Raw_Data!J43</f>
        <v>15391.88</v>
      </c>
      <c r="K43" s="48" t="str">
        <f t="shared" si="0"/>
        <v>2024-05</v>
      </c>
      <c r="L43" s="48" t="str">
        <f t="shared" si="1"/>
        <v>Q2-2024</v>
      </c>
      <c r="M43" s="50">
        <f t="shared" si="2"/>
        <v>18218.32</v>
      </c>
      <c r="N43" s="51">
        <f t="shared" si="3"/>
        <v>0.54204735467209364</v>
      </c>
    </row>
    <row r="44" spans="1:14" ht="15">
      <c r="A44" s="48">
        <f>Raw_Data!A44</f>
        <v>43</v>
      </c>
      <c r="B44" s="49">
        <f>Raw_Data!B44</f>
        <v>45422</v>
      </c>
      <c r="C44" s="48" t="str">
        <f>Raw_Data!C44</f>
        <v>US</v>
      </c>
      <c r="D44" s="48" t="str">
        <f>Raw_Data!D44</f>
        <v>Services</v>
      </c>
      <c r="E44" s="48" t="str">
        <f>Raw_Data!E44</f>
        <v>Enterprise</v>
      </c>
      <c r="F44" s="48" t="str">
        <f>Raw_Data!F44</f>
        <v>Direct</v>
      </c>
      <c r="G44" s="50">
        <f>Raw_Data!G44</f>
        <v>134</v>
      </c>
      <c r="H44" s="50">
        <f>Raw_Data!H44</f>
        <v>461.64</v>
      </c>
      <c r="I44" s="50">
        <f>Raw_Data!I44</f>
        <v>61859.76</v>
      </c>
      <c r="J44" s="50">
        <f>Raw_Data!J44</f>
        <v>35996.980000000003</v>
      </c>
      <c r="K44" s="48" t="str">
        <f t="shared" si="0"/>
        <v>2024-05</v>
      </c>
      <c r="L44" s="48" t="str">
        <f t="shared" si="1"/>
        <v>Q2-2024</v>
      </c>
      <c r="M44" s="50">
        <f t="shared" si="2"/>
        <v>25862.78</v>
      </c>
      <c r="N44" s="51">
        <f t="shared" si="3"/>
        <v>0.4180872994010969</v>
      </c>
    </row>
    <row r="45" spans="1:14" ht="15">
      <c r="A45" s="48">
        <f>Raw_Data!A45</f>
        <v>44</v>
      </c>
      <c r="B45" s="49">
        <f>Raw_Data!B45</f>
        <v>45427</v>
      </c>
      <c r="C45" s="48" t="str">
        <f>Raw_Data!C45</f>
        <v>APAC</v>
      </c>
      <c r="D45" s="48" t="str">
        <f>Raw_Data!D45</f>
        <v>Services</v>
      </c>
      <c r="E45" s="48" t="str">
        <f>Raw_Data!E45</f>
        <v>Mid-Market</v>
      </c>
      <c r="F45" s="48" t="str">
        <f>Raw_Data!F45</f>
        <v>Direct</v>
      </c>
      <c r="G45" s="50">
        <f>Raw_Data!G45</f>
        <v>195</v>
      </c>
      <c r="H45" s="50">
        <f>Raw_Data!H45</f>
        <v>300.58999999999997</v>
      </c>
      <c r="I45" s="50">
        <f>Raw_Data!I45</f>
        <v>58615.05</v>
      </c>
      <c r="J45" s="50">
        <f>Raw_Data!J45</f>
        <v>32444.27</v>
      </c>
      <c r="K45" s="48" t="str">
        <f t="shared" si="0"/>
        <v>2024-05</v>
      </c>
      <c r="L45" s="48" t="str">
        <f t="shared" si="1"/>
        <v>Q2-2024</v>
      </c>
      <c r="M45" s="50">
        <f t="shared" si="2"/>
        <v>26170.780000000002</v>
      </c>
      <c r="N45" s="51">
        <f t="shared" si="3"/>
        <v>0.44648567219511032</v>
      </c>
    </row>
    <row r="46" spans="1:14" ht="15">
      <c r="A46" s="48">
        <f>Raw_Data!A46</f>
        <v>45</v>
      </c>
      <c r="B46" s="49">
        <f>Raw_Data!B46</f>
        <v>45429</v>
      </c>
      <c r="C46" s="48" t="str">
        <f>Raw_Data!C46</f>
        <v>APAC</v>
      </c>
      <c r="D46" s="48" t="str">
        <f>Raw_Data!D46</f>
        <v>Services</v>
      </c>
      <c r="E46" s="48" t="str">
        <f>Raw_Data!E46</f>
        <v>Enterprise</v>
      </c>
      <c r="F46" s="48" t="str">
        <f>Raw_Data!F46</f>
        <v>Partner</v>
      </c>
      <c r="G46" s="50">
        <f>Raw_Data!G46</f>
        <v>38</v>
      </c>
      <c r="H46" s="50">
        <f>Raw_Data!H46</f>
        <v>383.79</v>
      </c>
      <c r="I46" s="50">
        <f>Raw_Data!I46</f>
        <v>14584.02</v>
      </c>
      <c r="J46" s="50">
        <f>Raw_Data!J46</f>
        <v>7602.16</v>
      </c>
      <c r="K46" s="48" t="str">
        <f t="shared" si="0"/>
        <v>2024-05</v>
      </c>
      <c r="L46" s="48" t="str">
        <f t="shared" si="1"/>
        <v>Q2-2024</v>
      </c>
      <c r="M46" s="50">
        <f t="shared" si="2"/>
        <v>6981.8600000000006</v>
      </c>
      <c r="N46" s="51">
        <f t="shared" si="3"/>
        <v>0.47873357277348771</v>
      </c>
    </row>
    <row r="47" spans="1:14" ht="15">
      <c r="A47" s="48">
        <f>Raw_Data!A47</f>
        <v>46</v>
      </c>
      <c r="B47" s="49">
        <f>Raw_Data!B47</f>
        <v>45434</v>
      </c>
      <c r="C47" s="48" t="str">
        <f>Raw_Data!C47</f>
        <v>APAC</v>
      </c>
      <c r="D47" s="48" t="str">
        <f>Raw_Data!D47</f>
        <v>Training</v>
      </c>
      <c r="E47" s="48" t="str">
        <f>Raw_Data!E47</f>
        <v>SMB</v>
      </c>
      <c r="F47" s="48" t="str">
        <f>Raw_Data!F47</f>
        <v>Partner</v>
      </c>
      <c r="G47" s="50">
        <f>Raw_Data!G47</f>
        <v>99</v>
      </c>
      <c r="H47" s="50">
        <f>Raw_Data!H47</f>
        <v>164.08</v>
      </c>
      <c r="I47" s="50">
        <f>Raw_Data!I47</f>
        <v>16243.92</v>
      </c>
      <c r="J47" s="50">
        <f>Raw_Data!J47</f>
        <v>7621.72</v>
      </c>
      <c r="K47" s="48" t="str">
        <f t="shared" si="0"/>
        <v>2024-05</v>
      </c>
      <c r="L47" s="48" t="str">
        <f t="shared" si="1"/>
        <v>Q2-2024</v>
      </c>
      <c r="M47" s="50">
        <f t="shared" si="2"/>
        <v>8622.2000000000007</v>
      </c>
      <c r="N47" s="51">
        <f t="shared" si="3"/>
        <v>0.53079552226309912</v>
      </c>
    </row>
    <row r="48" spans="1:14" ht="15">
      <c r="A48" s="48">
        <f>Raw_Data!A48</f>
        <v>47</v>
      </c>
      <c r="B48" s="49">
        <f>Raw_Data!B48</f>
        <v>45433</v>
      </c>
      <c r="C48" s="48" t="str">
        <f>Raw_Data!C48</f>
        <v>UK</v>
      </c>
      <c r="D48" s="48" t="str">
        <f>Raw_Data!D48</f>
        <v>Services</v>
      </c>
      <c r="E48" s="48" t="str">
        <f>Raw_Data!E48</f>
        <v>SMB</v>
      </c>
      <c r="F48" s="48" t="str">
        <f>Raw_Data!F48</f>
        <v>Direct</v>
      </c>
      <c r="G48" s="50">
        <f>Raw_Data!G48</f>
        <v>82</v>
      </c>
      <c r="H48" s="50">
        <f>Raw_Data!H48</f>
        <v>275.5</v>
      </c>
      <c r="I48" s="50">
        <f>Raw_Data!I48</f>
        <v>22591</v>
      </c>
      <c r="J48" s="50">
        <f>Raw_Data!J48</f>
        <v>13077.56</v>
      </c>
      <c r="K48" s="48" t="str">
        <f t="shared" si="0"/>
        <v>2024-05</v>
      </c>
      <c r="L48" s="48" t="str">
        <f t="shared" si="1"/>
        <v>Q2-2024</v>
      </c>
      <c r="M48" s="50">
        <f t="shared" si="2"/>
        <v>9513.44</v>
      </c>
      <c r="N48" s="51">
        <f t="shared" si="3"/>
        <v>0.42111637377716793</v>
      </c>
    </row>
    <row r="49" spans="1:14" ht="15">
      <c r="A49" s="48">
        <f>Raw_Data!A49</f>
        <v>48</v>
      </c>
      <c r="B49" s="49">
        <f>Raw_Data!B49</f>
        <v>45437</v>
      </c>
      <c r="C49" s="48" t="str">
        <f>Raw_Data!C49</f>
        <v>US</v>
      </c>
      <c r="D49" s="48" t="str">
        <f>Raw_Data!D49</f>
        <v>Services</v>
      </c>
      <c r="E49" s="48" t="str">
        <f>Raw_Data!E49</f>
        <v>Public Sector</v>
      </c>
      <c r="F49" s="48" t="str">
        <f>Raw_Data!F49</f>
        <v>Online</v>
      </c>
      <c r="G49" s="50">
        <f>Raw_Data!G49</f>
        <v>81</v>
      </c>
      <c r="H49" s="50">
        <f>Raw_Data!H49</f>
        <v>403.68</v>
      </c>
      <c r="I49" s="50">
        <f>Raw_Data!I49</f>
        <v>32698.080000000002</v>
      </c>
      <c r="J49" s="50">
        <f>Raw_Data!J49</f>
        <v>18143.48</v>
      </c>
      <c r="K49" s="48" t="str">
        <f t="shared" si="0"/>
        <v>2024-05</v>
      </c>
      <c r="L49" s="48" t="str">
        <f t="shared" si="1"/>
        <v>Q2-2024</v>
      </c>
      <c r="M49" s="50">
        <f t="shared" si="2"/>
        <v>14554.600000000002</v>
      </c>
      <c r="N49" s="51">
        <f t="shared" si="3"/>
        <v>0.44512093676448283</v>
      </c>
    </row>
    <row r="50" spans="1:14" ht="15">
      <c r="A50" s="48">
        <f>Raw_Data!A50</f>
        <v>49</v>
      </c>
      <c r="B50" s="49">
        <f>Raw_Data!B50</f>
        <v>45443</v>
      </c>
      <c r="C50" s="48" t="str">
        <f>Raw_Data!C50</f>
        <v>APAC</v>
      </c>
      <c r="D50" s="48" t="str">
        <f>Raw_Data!D50</f>
        <v>Hardware</v>
      </c>
      <c r="E50" s="48" t="str">
        <f>Raw_Data!E50</f>
        <v>SMB</v>
      </c>
      <c r="F50" s="48" t="str">
        <f>Raw_Data!F50</f>
        <v>Partner</v>
      </c>
      <c r="G50" s="50">
        <f>Raw_Data!G50</f>
        <v>29</v>
      </c>
      <c r="H50" s="50">
        <f>Raw_Data!H50</f>
        <v>449.53</v>
      </c>
      <c r="I50" s="50">
        <f>Raw_Data!I50</f>
        <v>13036.37</v>
      </c>
      <c r="J50" s="50">
        <f>Raw_Data!J50</f>
        <v>8629</v>
      </c>
      <c r="K50" s="48" t="str">
        <f t="shared" si="0"/>
        <v>2024-05</v>
      </c>
      <c r="L50" s="48" t="str">
        <f t="shared" si="1"/>
        <v>Q2-2024</v>
      </c>
      <c r="M50" s="50">
        <f t="shared" si="2"/>
        <v>4407.3700000000008</v>
      </c>
      <c r="N50" s="51">
        <f t="shared" si="3"/>
        <v>0.33808261041992521</v>
      </c>
    </row>
    <row r="51" spans="1:14" ht="15">
      <c r="A51" s="48">
        <f>Raw_Data!A51</f>
        <v>50</v>
      </c>
      <c r="B51" s="49">
        <f>Raw_Data!B51</f>
        <v>45442</v>
      </c>
      <c r="C51" s="48" t="str">
        <f>Raw_Data!C51</f>
        <v>US</v>
      </c>
      <c r="D51" s="48" t="str">
        <f>Raw_Data!D51</f>
        <v>Software</v>
      </c>
      <c r="E51" s="48" t="str">
        <f>Raw_Data!E51</f>
        <v>SMB</v>
      </c>
      <c r="F51" s="48" t="str">
        <f>Raw_Data!F51</f>
        <v>Partner</v>
      </c>
      <c r="G51" s="50">
        <f>Raw_Data!G51</f>
        <v>36</v>
      </c>
      <c r="H51" s="50">
        <f>Raw_Data!H51</f>
        <v>457.47</v>
      </c>
      <c r="I51" s="50">
        <f>Raw_Data!I51</f>
        <v>16468.919999999998</v>
      </c>
      <c r="J51" s="50">
        <f>Raw_Data!J51</f>
        <v>6660.96</v>
      </c>
      <c r="K51" s="48" t="str">
        <f t="shared" si="0"/>
        <v>2024-05</v>
      </c>
      <c r="L51" s="48" t="str">
        <f t="shared" si="1"/>
        <v>Q2-2024</v>
      </c>
      <c r="M51" s="50">
        <f t="shared" si="2"/>
        <v>9807.9599999999991</v>
      </c>
      <c r="N51" s="51">
        <f t="shared" si="3"/>
        <v>0.59554360577378485</v>
      </c>
    </row>
    <row r="52" spans="1:14" ht="15">
      <c r="A52" s="48">
        <f>Raw_Data!A52</f>
        <v>51</v>
      </c>
      <c r="B52" s="49">
        <f>Raw_Data!B52</f>
        <v>45447</v>
      </c>
      <c r="C52" s="48" t="str">
        <f>Raw_Data!C52</f>
        <v>UK</v>
      </c>
      <c r="D52" s="48" t="str">
        <f>Raw_Data!D52</f>
        <v>Training</v>
      </c>
      <c r="E52" s="48" t="str">
        <f>Raw_Data!E52</f>
        <v>SMB</v>
      </c>
      <c r="F52" s="48" t="str">
        <f>Raw_Data!F52</f>
        <v>Partner</v>
      </c>
      <c r="G52" s="50">
        <f>Raw_Data!G52</f>
        <v>156</v>
      </c>
      <c r="H52" s="50">
        <f>Raw_Data!H52</f>
        <v>164.24</v>
      </c>
      <c r="I52" s="50">
        <f>Raw_Data!I52</f>
        <v>25621.439999999999</v>
      </c>
      <c r="J52" s="50">
        <f>Raw_Data!J52</f>
        <v>13054.19</v>
      </c>
      <c r="K52" s="48" t="str">
        <f t="shared" si="0"/>
        <v>2024-06</v>
      </c>
      <c r="L52" s="48" t="str">
        <f t="shared" si="1"/>
        <v>Q2-2024</v>
      </c>
      <c r="M52" s="50">
        <f t="shared" si="2"/>
        <v>12567.249999999998</v>
      </c>
      <c r="N52" s="51">
        <f t="shared" si="3"/>
        <v>0.49049741154283283</v>
      </c>
    </row>
    <row r="53" spans="1:14" ht="15">
      <c r="A53" s="48">
        <f>Raw_Data!A53</f>
        <v>52</v>
      </c>
      <c r="B53" s="49">
        <f>Raw_Data!B53</f>
        <v>45452</v>
      </c>
      <c r="C53" s="48" t="str">
        <f>Raw_Data!C53</f>
        <v>EU</v>
      </c>
      <c r="D53" s="48" t="str">
        <f>Raw_Data!D53</f>
        <v>Software</v>
      </c>
      <c r="E53" s="48" t="str">
        <f>Raw_Data!E53</f>
        <v>Mid-Market</v>
      </c>
      <c r="F53" s="48" t="str">
        <f>Raw_Data!F53</f>
        <v>Direct</v>
      </c>
      <c r="G53" s="50">
        <f>Raw_Data!G53</f>
        <v>56</v>
      </c>
      <c r="H53" s="50">
        <f>Raw_Data!H53</f>
        <v>445.03</v>
      </c>
      <c r="I53" s="50">
        <f>Raw_Data!I53</f>
        <v>24921.68</v>
      </c>
      <c r="J53" s="50">
        <f>Raw_Data!J53</f>
        <v>10012.9</v>
      </c>
      <c r="K53" s="48" t="str">
        <f t="shared" si="0"/>
        <v>2024-06</v>
      </c>
      <c r="L53" s="48" t="str">
        <f t="shared" si="1"/>
        <v>Q2-2024</v>
      </c>
      <c r="M53" s="50">
        <f t="shared" si="2"/>
        <v>14908.78</v>
      </c>
      <c r="N53" s="51">
        <f t="shared" si="3"/>
        <v>0.59822532028338382</v>
      </c>
    </row>
    <row r="54" spans="1:14" ht="15">
      <c r="A54" s="48">
        <f>Raw_Data!A54</f>
        <v>53</v>
      </c>
      <c r="B54" s="49">
        <f>Raw_Data!B54</f>
        <v>45453</v>
      </c>
      <c r="C54" s="48" t="str">
        <f>Raw_Data!C54</f>
        <v>US</v>
      </c>
      <c r="D54" s="48" t="str">
        <f>Raw_Data!D54</f>
        <v>Services</v>
      </c>
      <c r="E54" s="48" t="str">
        <f>Raw_Data!E54</f>
        <v>Enterprise</v>
      </c>
      <c r="F54" s="48" t="str">
        <f>Raw_Data!F54</f>
        <v>Partner</v>
      </c>
      <c r="G54" s="50">
        <f>Raw_Data!G54</f>
        <v>143</v>
      </c>
      <c r="H54" s="50">
        <f>Raw_Data!H54</f>
        <v>459.79</v>
      </c>
      <c r="I54" s="50">
        <f>Raw_Data!I54</f>
        <v>65749.97</v>
      </c>
      <c r="J54" s="50">
        <f>Raw_Data!J54</f>
        <v>35346.129999999997</v>
      </c>
      <c r="K54" s="48" t="str">
        <f t="shared" si="0"/>
        <v>2024-06</v>
      </c>
      <c r="L54" s="48" t="str">
        <f t="shared" si="1"/>
        <v>Q2-2024</v>
      </c>
      <c r="M54" s="50">
        <f t="shared" si="2"/>
        <v>30403.840000000004</v>
      </c>
      <c r="N54" s="51">
        <f t="shared" si="3"/>
        <v>0.46241602847879631</v>
      </c>
    </row>
    <row r="55" spans="1:14" ht="15">
      <c r="A55" s="48">
        <f>Raw_Data!A55</f>
        <v>54</v>
      </c>
      <c r="B55" s="49">
        <f>Raw_Data!B55</f>
        <v>45454</v>
      </c>
      <c r="C55" s="48" t="str">
        <f>Raw_Data!C55</f>
        <v>US</v>
      </c>
      <c r="D55" s="48" t="str">
        <f>Raw_Data!D55</f>
        <v>Software</v>
      </c>
      <c r="E55" s="48" t="str">
        <f>Raw_Data!E55</f>
        <v>SMB</v>
      </c>
      <c r="F55" s="48" t="str">
        <f>Raw_Data!F55</f>
        <v>Direct</v>
      </c>
      <c r="G55" s="50">
        <f>Raw_Data!G55</f>
        <v>202</v>
      </c>
      <c r="H55" s="50">
        <f>Raw_Data!H55</f>
        <v>436.33</v>
      </c>
      <c r="I55" s="50">
        <f>Raw_Data!I55</f>
        <v>88138.66</v>
      </c>
      <c r="J55" s="50">
        <f>Raw_Data!J55</f>
        <v>39977.35</v>
      </c>
      <c r="K55" s="48" t="str">
        <f t="shared" si="0"/>
        <v>2024-06</v>
      </c>
      <c r="L55" s="48" t="str">
        <f t="shared" si="1"/>
        <v>Q2-2024</v>
      </c>
      <c r="M55" s="50">
        <f t="shared" si="2"/>
        <v>48161.310000000005</v>
      </c>
      <c r="N55" s="51">
        <f t="shared" si="3"/>
        <v>0.54642661914760227</v>
      </c>
    </row>
    <row r="56" spans="1:14" ht="15">
      <c r="A56" s="48">
        <f>Raw_Data!A56</f>
        <v>55</v>
      </c>
      <c r="B56" s="49">
        <f>Raw_Data!B56</f>
        <v>45461</v>
      </c>
      <c r="C56" s="48" t="str">
        <f>Raw_Data!C56</f>
        <v>APAC</v>
      </c>
      <c r="D56" s="48" t="str">
        <f>Raw_Data!D56</f>
        <v>Services</v>
      </c>
      <c r="E56" s="48" t="str">
        <f>Raw_Data!E56</f>
        <v>Public Sector</v>
      </c>
      <c r="F56" s="48" t="str">
        <f>Raw_Data!F56</f>
        <v>Direct</v>
      </c>
      <c r="G56" s="50">
        <f>Raw_Data!G56</f>
        <v>183</v>
      </c>
      <c r="H56" s="50">
        <f>Raw_Data!H56</f>
        <v>323.27999999999997</v>
      </c>
      <c r="I56" s="50">
        <f>Raw_Data!I56</f>
        <v>59160.24</v>
      </c>
      <c r="J56" s="50">
        <f>Raw_Data!J56</f>
        <v>32425.23</v>
      </c>
      <c r="K56" s="48" t="str">
        <f t="shared" si="0"/>
        <v>2024-06</v>
      </c>
      <c r="L56" s="48" t="str">
        <f t="shared" si="1"/>
        <v>Q2-2024</v>
      </c>
      <c r="M56" s="50">
        <f t="shared" si="2"/>
        <v>26735.01</v>
      </c>
      <c r="N56" s="51">
        <f t="shared" si="3"/>
        <v>0.45190841010786975</v>
      </c>
    </row>
    <row r="57" spans="1:14" ht="15">
      <c r="A57" s="48">
        <f>Raw_Data!A57</f>
        <v>56</v>
      </c>
      <c r="B57" s="49">
        <f>Raw_Data!B57</f>
        <v>45463</v>
      </c>
      <c r="C57" s="48" t="str">
        <f>Raw_Data!C57</f>
        <v>APAC</v>
      </c>
      <c r="D57" s="48" t="str">
        <f>Raw_Data!D57</f>
        <v>Hardware</v>
      </c>
      <c r="E57" s="48" t="str">
        <f>Raw_Data!E57</f>
        <v>Mid-Market</v>
      </c>
      <c r="F57" s="48" t="str">
        <f>Raw_Data!F57</f>
        <v>Direct</v>
      </c>
      <c r="G57" s="50">
        <f>Raw_Data!G57</f>
        <v>102</v>
      </c>
      <c r="H57" s="50">
        <f>Raw_Data!H57</f>
        <v>468.55</v>
      </c>
      <c r="I57" s="50">
        <f>Raw_Data!I57</f>
        <v>47792.1</v>
      </c>
      <c r="J57" s="50">
        <f>Raw_Data!J57</f>
        <v>33804.559999999998</v>
      </c>
      <c r="K57" s="48" t="str">
        <f t="shared" si="0"/>
        <v>2024-06</v>
      </c>
      <c r="L57" s="48" t="str">
        <f t="shared" si="1"/>
        <v>Q2-2024</v>
      </c>
      <c r="M57" s="50">
        <f t="shared" si="2"/>
        <v>13987.54</v>
      </c>
      <c r="N57" s="51">
        <f t="shared" si="3"/>
        <v>0.29267473076094169</v>
      </c>
    </row>
    <row r="58" spans="1:14" ht="15">
      <c r="A58" s="48">
        <f>Raw_Data!A58</f>
        <v>57</v>
      </c>
      <c r="B58" s="49">
        <f>Raw_Data!B58</f>
        <v>45464</v>
      </c>
      <c r="C58" s="48" t="str">
        <f>Raw_Data!C58</f>
        <v>APAC</v>
      </c>
      <c r="D58" s="48" t="str">
        <f>Raw_Data!D58</f>
        <v>Hardware</v>
      </c>
      <c r="E58" s="48" t="str">
        <f>Raw_Data!E58</f>
        <v>SMB</v>
      </c>
      <c r="F58" s="48" t="str">
        <f>Raw_Data!F58</f>
        <v>Direct</v>
      </c>
      <c r="G58" s="50">
        <f>Raw_Data!G58</f>
        <v>18</v>
      </c>
      <c r="H58" s="50">
        <f>Raw_Data!H58</f>
        <v>406.42</v>
      </c>
      <c r="I58" s="50">
        <f>Raw_Data!I58</f>
        <v>7315.56</v>
      </c>
      <c r="J58" s="50">
        <f>Raw_Data!J58</f>
        <v>5107.42</v>
      </c>
      <c r="K58" s="48" t="str">
        <f t="shared" si="0"/>
        <v>2024-06</v>
      </c>
      <c r="L58" s="48" t="str">
        <f t="shared" si="1"/>
        <v>Q2-2024</v>
      </c>
      <c r="M58" s="50">
        <f t="shared" si="2"/>
        <v>2208.1400000000003</v>
      </c>
      <c r="N58" s="51">
        <f t="shared" si="3"/>
        <v>0.30184155416673503</v>
      </c>
    </row>
    <row r="59" spans="1:14" ht="15">
      <c r="A59" s="48">
        <f>Raw_Data!A59</f>
        <v>58</v>
      </c>
      <c r="B59" s="49">
        <f>Raw_Data!B59</f>
        <v>45468</v>
      </c>
      <c r="C59" s="48" t="str">
        <f>Raw_Data!C59</f>
        <v>APAC</v>
      </c>
      <c r="D59" s="48" t="str">
        <f>Raw_Data!D59</f>
        <v>Services</v>
      </c>
      <c r="E59" s="48" t="str">
        <f>Raw_Data!E59</f>
        <v>SMB</v>
      </c>
      <c r="F59" s="48" t="str">
        <f>Raw_Data!F59</f>
        <v>Direct</v>
      </c>
      <c r="G59" s="50">
        <f>Raw_Data!G59</f>
        <v>185</v>
      </c>
      <c r="H59" s="50">
        <f>Raw_Data!H59</f>
        <v>268.72000000000003</v>
      </c>
      <c r="I59" s="50">
        <f>Raw_Data!I59</f>
        <v>49713.2</v>
      </c>
      <c r="J59" s="50">
        <f>Raw_Data!J59</f>
        <v>28663.88</v>
      </c>
      <c r="K59" s="48" t="str">
        <f t="shared" si="0"/>
        <v>2024-06</v>
      </c>
      <c r="L59" s="48" t="str">
        <f t="shared" si="1"/>
        <v>Q2-2024</v>
      </c>
      <c r="M59" s="50">
        <f t="shared" si="2"/>
        <v>21049.319999999996</v>
      </c>
      <c r="N59" s="51">
        <f t="shared" si="3"/>
        <v>0.4234151090656002</v>
      </c>
    </row>
    <row r="60" spans="1:14" ht="15">
      <c r="A60" s="48">
        <f>Raw_Data!A60</f>
        <v>59</v>
      </c>
      <c r="B60" s="49">
        <f>Raw_Data!B60</f>
        <v>45471</v>
      </c>
      <c r="C60" s="48" t="str">
        <f>Raw_Data!C60</f>
        <v>EU</v>
      </c>
      <c r="D60" s="48" t="str">
        <f>Raw_Data!D60</f>
        <v>Hardware</v>
      </c>
      <c r="E60" s="48" t="str">
        <f>Raw_Data!E60</f>
        <v>SMB</v>
      </c>
      <c r="F60" s="48" t="str">
        <f>Raw_Data!F60</f>
        <v>Partner</v>
      </c>
      <c r="G60" s="50">
        <f>Raw_Data!G60</f>
        <v>62</v>
      </c>
      <c r="H60" s="50">
        <f>Raw_Data!H60</f>
        <v>472.38</v>
      </c>
      <c r="I60" s="50">
        <f>Raw_Data!I60</f>
        <v>29287.56</v>
      </c>
      <c r="J60" s="50">
        <f>Raw_Data!J60</f>
        <v>19885.63</v>
      </c>
      <c r="K60" s="48" t="str">
        <f t="shared" si="0"/>
        <v>2024-06</v>
      </c>
      <c r="L60" s="48" t="str">
        <f t="shared" si="1"/>
        <v>Q2-2024</v>
      </c>
      <c r="M60" s="50">
        <f t="shared" si="2"/>
        <v>9401.93</v>
      </c>
      <c r="N60" s="51">
        <f t="shared" si="3"/>
        <v>0.3210212800246931</v>
      </c>
    </row>
    <row r="61" spans="1:14" ht="15">
      <c r="A61" s="48">
        <f>Raw_Data!A61</f>
        <v>60</v>
      </c>
      <c r="B61" s="49">
        <f>Raw_Data!B61</f>
        <v>45474</v>
      </c>
      <c r="C61" s="48" t="str">
        <f>Raw_Data!C61</f>
        <v>US</v>
      </c>
      <c r="D61" s="48" t="str">
        <f>Raw_Data!D61</f>
        <v>Hardware</v>
      </c>
      <c r="E61" s="48" t="str">
        <f>Raw_Data!E61</f>
        <v>Enterprise</v>
      </c>
      <c r="F61" s="48" t="str">
        <f>Raw_Data!F61</f>
        <v>Direct</v>
      </c>
      <c r="G61" s="50">
        <f>Raw_Data!G61</f>
        <v>23</v>
      </c>
      <c r="H61" s="50">
        <f>Raw_Data!H61</f>
        <v>733.15</v>
      </c>
      <c r="I61" s="50">
        <f>Raw_Data!I61</f>
        <v>16862.45</v>
      </c>
      <c r="J61" s="50">
        <f>Raw_Data!J61</f>
        <v>11299.88</v>
      </c>
      <c r="K61" s="48" t="str">
        <f t="shared" si="0"/>
        <v>2024-07</v>
      </c>
      <c r="L61" s="48" t="str">
        <f t="shared" si="1"/>
        <v>Q3-2024</v>
      </c>
      <c r="M61" s="50">
        <f t="shared" si="2"/>
        <v>5562.5700000000015</v>
      </c>
      <c r="N61" s="51">
        <f t="shared" si="3"/>
        <v>0.32987911009372906</v>
      </c>
    </row>
    <row r="62" spans="1:14" ht="15">
      <c r="A62" s="48">
        <f>Raw_Data!A62</f>
        <v>61</v>
      </c>
      <c r="B62" s="49">
        <f>Raw_Data!B62</f>
        <v>45477</v>
      </c>
      <c r="C62" s="48" t="str">
        <f>Raw_Data!C62</f>
        <v>EU</v>
      </c>
      <c r="D62" s="48" t="str">
        <f>Raw_Data!D62</f>
        <v>Software</v>
      </c>
      <c r="E62" s="48" t="str">
        <f>Raw_Data!E62</f>
        <v>Enterprise</v>
      </c>
      <c r="F62" s="48" t="str">
        <f>Raw_Data!F62</f>
        <v>Partner</v>
      </c>
      <c r="G62" s="50">
        <f>Raw_Data!G62</f>
        <v>36</v>
      </c>
      <c r="H62" s="50">
        <f>Raw_Data!H62</f>
        <v>539.04999999999995</v>
      </c>
      <c r="I62" s="50">
        <f>Raw_Data!I62</f>
        <v>19405.8</v>
      </c>
      <c r="J62" s="50">
        <f>Raw_Data!J62</f>
        <v>8202.44</v>
      </c>
      <c r="K62" s="48" t="str">
        <f t="shared" si="0"/>
        <v>2024-07</v>
      </c>
      <c r="L62" s="48" t="str">
        <f t="shared" si="1"/>
        <v>Q3-2024</v>
      </c>
      <c r="M62" s="50">
        <f t="shared" si="2"/>
        <v>11203.359999999999</v>
      </c>
      <c r="N62" s="51">
        <f t="shared" si="3"/>
        <v>0.57732018262581286</v>
      </c>
    </row>
    <row r="63" spans="1:14" ht="15">
      <c r="A63" s="48">
        <f>Raw_Data!A63</f>
        <v>62</v>
      </c>
      <c r="B63" s="49">
        <f>Raw_Data!B63</f>
        <v>45479</v>
      </c>
      <c r="C63" s="48" t="str">
        <f>Raw_Data!C63</f>
        <v>EU</v>
      </c>
      <c r="D63" s="48" t="str">
        <f>Raw_Data!D63</f>
        <v>Software</v>
      </c>
      <c r="E63" s="48" t="str">
        <f>Raw_Data!E63</f>
        <v>SMB</v>
      </c>
      <c r="F63" s="48" t="str">
        <f>Raw_Data!F63</f>
        <v>Partner</v>
      </c>
      <c r="G63" s="50">
        <f>Raw_Data!G63</f>
        <v>37</v>
      </c>
      <c r="H63" s="50">
        <f>Raw_Data!H63</f>
        <v>370.38</v>
      </c>
      <c r="I63" s="50">
        <f>Raw_Data!I63</f>
        <v>13704.06</v>
      </c>
      <c r="J63" s="50">
        <f>Raw_Data!J63</f>
        <v>5867.28</v>
      </c>
      <c r="K63" s="48" t="str">
        <f t="shared" si="0"/>
        <v>2024-07</v>
      </c>
      <c r="L63" s="48" t="str">
        <f t="shared" si="1"/>
        <v>Q3-2024</v>
      </c>
      <c r="M63" s="50">
        <f t="shared" si="2"/>
        <v>7836.78</v>
      </c>
      <c r="N63" s="51">
        <f t="shared" si="3"/>
        <v>0.5718582668201978</v>
      </c>
    </row>
    <row r="64" spans="1:14" ht="15">
      <c r="A64" s="48">
        <f>Raw_Data!A64</f>
        <v>63</v>
      </c>
      <c r="B64" s="49">
        <f>Raw_Data!B64</f>
        <v>45484</v>
      </c>
      <c r="C64" s="48" t="str">
        <f>Raw_Data!C64</f>
        <v>UK</v>
      </c>
      <c r="D64" s="48" t="str">
        <f>Raw_Data!D64</f>
        <v>Hardware</v>
      </c>
      <c r="E64" s="48" t="str">
        <f>Raw_Data!E64</f>
        <v>Enterprise</v>
      </c>
      <c r="F64" s="48" t="str">
        <f>Raw_Data!F64</f>
        <v>Online</v>
      </c>
      <c r="G64" s="50">
        <f>Raw_Data!G64</f>
        <v>74</v>
      </c>
      <c r="H64" s="50">
        <f>Raw_Data!H64</f>
        <v>592.15</v>
      </c>
      <c r="I64" s="50">
        <f>Raw_Data!I64</f>
        <v>43819.1</v>
      </c>
      <c r="J64" s="50">
        <f>Raw_Data!J64</f>
        <v>31210</v>
      </c>
      <c r="K64" s="48" t="str">
        <f t="shared" si="0"/>
        <v>2024-07</v>
      </c>
      <c r="L64" s="48" t="str">
        <f t="shared" si="1"/>
        <v>Q3-2024</v>
      </c>
      <c r="M64" s="50">
        <f t="shared" si="2"/>
        <v>12609.099999999999</v>
      </c>
      <c r="N64" s="51">
        <f t="shared" si="3"/>
        <v>0.28775351387865106</v>
      </c>
    </row>
    <row r="65" spans="1:14" ht="15">
      <c r="A65" s="48">
        <f>Raw_Data!A65</f>
        <v>64</v>
      </c>
      <c r="B65" s="49">
        <f>Raw_Data!B65</f>
        <v>45485</v>
      </c>
      <c r="C65" s="48" t="str">
        <f>Raw_Data!C65</f>
        <v>APAC</v>
      </c>
      <c r="D65" s="48" t="str">
        <f>Raw_Data!D65</f>
        <v>Hardware</v>
      </c>
      <c r="E65" s="48" t="str">
        <f>Raw_Data!E65</f>
        <v>Public Sector</v>
      </c>
      <c r="F65" s="48" t="str">
        <f>Raw_Data!F65</f>
        <v>Direct</v>
      </c>
      <c r="G65" s="50">
        <f>Raw_Data!G65</f>
        <v>87</v>
      </c>
      <c r="H65" s="50">
        <f>Raw_Data!H65</f>
        <v>500.51</v>
      </c>
      <c r="I65" s="50">
        <f>Raw_Data!I65</f>
        <v>43544.37</v>
      </c>
      <c r="J65" s="50">
        <f>Raw_Data!J65</f>
        <v>30124.400000000001</v>
      </c>
      <c r="K65" s="48" t="str">
        <f t="shared" si="0"/>
        <v>2024-07</v>
      </c>
      <c r="L65" s="48" t="str">
        <f t="shared" si="1"/>
        <v>Q3-2024</v>
      </c>
      <c r="M65" s="50">
        <f t="shared" si="2"/>
        <v>13419.970000000001</v>
      </c>
      <c r="N65" s="51">
        <f t="shared" si="3"/>
        <v>0.30819070295425105</v>
      </c>
    </row>
    <row r="66" spans="1:14" ht="15">
      <c r="A66" s="48">
        <f>Raw_Data!A66</f>
        <v>65</v>
      </c>
      <c r="B66" s="49">
        <f>Raw_Data!B66</f>
        <v>45487</v>
      </c>
      <c r="C66" s="48" t="str">
        <f>Raw_Data!C66</f>
        <v>APAC</v>
      </c>
      <c r="D66" s="48" t="str">
        <f>Raw_Data!D66</f>
        <v>Services</v>
      </c>
      <c r="E66" s="48" t="str">
        <f>Raw_Data!E66</f>
        <v>SMB</v>
      </c>
      <c r="F66" s="48" t="str">
        <f>Raw_Data!F66</f>
        <v>Online</v>
      </c>
      <c r="G66" s="50">
        <f>Raw_Data!G66</f>
        <v>164</v>
      </c>
      <c r="H66" s="50">
        <f>Raw_Data!H66</f>
        <v>256.89999999999998</v>
      </c>
      <c r="I66" s="50">
        <f>Raw_Data!I66</f>
        <v>42131.6</v>
      </c>
      <c r="J66" s="50">
        <f>Raw_Data!J66</f>
        <v>23856.05</v>
      </c>
      <c r="K66" s="48" t="str">
        <f t="shared" ref="K66:K129" si="4">TEXT(B66,"yyyy-mm")</f>
        <v>2024-07</v>
      </c>
      <c r="L66" s="48" t="str">
        <f t="shared" ref="L66:L129" si="5">"Q"&amp;ROUNDUP(MONTH(B66)/3,0)&amp;"-"&amp;YEAR(B66)</f>
        <v>Q3-2024</v>
      </c>
      <c r="M66" s="50">
        <f t="shared" ref="M66:M129" si="6">I66-J66</f>
        <v>18275.55</v>
      </c>
      <c r="N66" s="51">
        <f t="shared" ref="N66:N129" si="7">IFERROR(M66/I66,0)</f>
        <v>0.43377298749632104</v>
      </c>
    </row>
    <row r="67" spans="1:14" ht="15">
      <c r="A67" s="48">
        <f>Raw_Data!A67</f>
        <v>66</v>
      </c>
      <c r="B67" s="49">
        <f>Raw_Data!B67</f>
        <v>45491</v>
      </c>
      <c r="C67" s="48" t="str">
        <f>Raw_Data!C67</f>
        <v>UK</v>
      </c>
      <c r="D67" s="48" t="str">
        <f>Raw_Data!D67</f>
        <v>Software</v>
      </c>
      <c r="E67" s="48" t="str">
        <f>Raw_Data!E67</f>
        <v>SMB</v>
      </c>
      <c r="F67" s="48" t="str">
        <f>Raw_Data!F67</f>
        <v>Direct</v>
      </c>
      <c r="G67" s="50">
        <f>Raw_Data!G67</f>
        <v>178</v>
      </c>
      <c r="H67" s="50">
        <f>Raw_Data!H67</f>
        <v>349.8</v>
      </c>
      <c r="I67" s="50">
        <f>Raw_Data!I67</f>
        <v>62264.4</v>
      </c>
      <c r="J67" s="50">
        <f>Raw_Data!J67</f>
        <v>24707.73</v>
      </c>
      <c r="K67" s="48" t="str">
        <f t="shared" si="4"/>
        <v>2024-07</v>
      </c>
      <c r="L67" s="48" t="str">
        <f t="shared" si="5"/>
        <v>Q3-2024</v>
      </c>
      <c r="M67" s="50">
        <f t="shared" si="6"/>
        <v>37556.67</v>
      </c>
      <c r="N67" s="51">
        <f t="shared" si="7"/>
        <v>0.6031804690963054</v>
      </c>
    </row>
    <row r="68" spans="1:14" ht="15">
      <c r="A68" s="48">
        <f>Raw_Data!A68</f>
        <v>67</v>
      </c>
      <c r="B68" s="49">
        <f>Raw_Data!B68</f>
        <v>45496</v>
      </c>
      <c r="C68" s="48" t="str">
        <f>Raw_Data!C68</f>
        <v>UK</v>
      </c>
      <c r="D68" s="48" t="str">
        <f>Raw_Data!D68</f>
        <v>Software</v>
      </c>
      <c r="E68" s="48" t="str">
        <f>Raw_Data!E68</f>
        <v>Mid-Market</v>
      </c>
      <c r="F68" s="48" t="str">
        <f>Raw_Data!F68</f>
        <v>Partner</v>
      </c>
      <c r="G68" s="50">
        <f>Raw_Data!G68</f>
        <v>82</v>
      </c>
      <c r="H68" s="50">
        <f>Raw_Data!H68</f>
        <v>385.32</v>
      </c>
      <c r="I68" s="50">
        <f>Raw_Data!I68</f>
        <v>31596.240000000002</v>
      </c>
      <c r="J68" s="50">
        <f>Raw_Data!J68</f>
        <v>13960.81</v>
      </c>
      <c r="K68" s="48" t="str">
        <f t="shared" si="4"/>
        <v>2024-07</v>
      </c>
      <c r="L68" s="48" t="str">
        <f t="shared" si="5"/>
        <v>Q3-2024</v>
      </c>
      <c r="M68" s="50">
        <f t="shared" si="6"/>
        <v>17635.43</v>
      </c>
      <c r="N68" s="51">
        <f t="shared" si="7"/>
        <v>0.55814964059014616</v>
      </c>
    </row>
    <row r="69" spans="1:14" ht="15">
      <c r="A69" s="48">
        <f>Raw_Data!A69</f>
        <v>68</v>
      </c>
      <c r="B69" s="49">
        <f>Raw_Data!B69</f>
        <v>45500</v>
      </c>
      <c r="C69" s="48" t="str">
        <f>Raw_Data!C69</f>
        <v>UK</v>
      </c>
      <c r="D69" s="48" t="str">
        <f>Raw_Data!D69</f>
        <v>Software</v>
      </c>
      <c r="E69" s="48" t="str">
        <f>Raw_Data!E69</f>
        <v>Public Sector</v>
      </c>
      <c r="F69" s="48" t="str">
        <f>Raw_Data!F69</f>
        <v>Partner</v>
      </c>
      <c r="G69" s="50">
        <f>Raw_Data!G69</f>
        <v>34</v>
      </c>
      <c r="H69" s="50">
        <f>Raw_Data!H69</f>
        <v>443.88</v>
      </c>
      <c r="I69" s="50">
        <f>Raw_Data!I69</f>
        <v>15091.92</v>
      </c>
      <c r="J69" s="50">
        <f>Raw_Data!J69</f>
        <v>6116.17</v>
      </c>
      <c r="K69" s="48" t="str">
        <f t="shared" si="4"/>
        <v>2024-07</v>
      </c>
      <c r="L69" s="48" t="str">
        <f t="shared" si="5"/>
        <v>Q3-2024</v>
      </c>
      <c r="M69" s="50">
        <f t="shared" si="6"/>
        <v>8975.75</v>
      </c>
      <c r="N69" s="51">
        <f t="shared" si="7"/>
        <v>0.59473877412549236</v>
      </c>
    </row>
    <row r="70" spans="1:14" ht="15">
      <c r="A70" s="48">
        <f>Raw_Data!A70</f>
        <v>69</v>
      </c>
      <c r="B70" s="49">
        <f>Raw_Data!B70</f>
        <v>45500</v>
      </c>
      <c r="C70" s="48" t="str">
        <f>Raw_Data!C70</f>
        <v>EU</v>
      </c>
      <c r="D70" s="48" t="str">
        <f>Raw_Data!D70</f>
        <v>Training</v>
      </c>
      <c r="E70" s="48" t="str">
        <f>Raw_Data!E70</f>
        <v>Public Sector</v>
      </c>
      <c r="F70" s="48" t="str">
        <f>Raw_Data!F70</f>
        <v>Partner</v>
      </c>
      <c r="G70" s="50">
        <f>Raw_Data!G70</f>
        <v>34</v>
      </c>
      <c r="H70" s="50">
        <f>Raw_Data!H70</f>
        <v>210.03</v>
      </c>
      <c r="I70" s="50">
        <f>Raw_Data!I70</f>
        <v>7141.02</v>
      </c>
      <c r="J70" s="50">
        <f>Raw_Data!J70</f>
        <v>3530.81</v>
      </c>
      <c r="K70" s="48" t="str">
        <f t="shared" si="4"/>
        <v>2024-07</v>
      </c>
      <c r="L70" s="48" t="str">
        <f t="shared" si="5"/>
        <v>Q3-2024</v>
      </c>
      <c r="M70" s="50">
        <f t="shared" si="6"/>
        <v>3610.2100000000005</v>
      </c>
      <c r="N70" s="51">
        <f t="shared" si="7"/>
        <v>0.50555942988536651</v>
      </c>
    </row>
    <row r="71" spans="1:14" ht="15">
      <c r="A71" s="48">
        <f>Raw_Data!A71</f>
        <v>70</v>
      </c>
      <c r="B71" s="49">
        <f>Raw_Data!B71</f>
        <v>45502</v>
      </c>
      <c r="C71" s="48" t="str">
        <f>Raw_Data!C71</f>
        <v>EU</v>
      </c>
      <c r="D71" s="48" t="str">
        <f>Raw_Data!D71</f>
        <v>Software</v>
      </c>
      <c r="E71" s="48" t="str">
        <f>Raw_Data!E71</f>
        <v>Mid-Market</v>
      </c>
      <c r="F71" s="48" t="str">
        <f>Raw_Data!F71</f>
        <v>Partner</v>
      </c>
      <c r="G71" s="50">
        <f>Raw_Data!G71</f>
        <v>80</v>
      </c>
      <c r="H71" s="50">
        <f>Raw_Data!H71</f>
        <v>440.91</v>
      </c>
      <c r="I71" s="50">
        <f>Raw_Data!I71</f>
        <v>35272.800000000003</v>
      </c>
      <c r="J71" s="50">
        <f>Raw_Data!J71</f>
        <v>15345</v>
      </c>
      <c r="K71" s="48" t="str">
        <f t="shared" si="4"/>
        <v>2024-07</v>
      </c>
      <c r="L71" s="48" t="str">
        <f t="shared" si="5"/>
        <v>Q3-2024</v>
      </c>
      <c r="M71" s="50">
        <f t="shared" si="6"/>
        <v>19927.800000000003</v>
      </c>
      <c r="N71" s="51">
        <f t="shared" si="7"/>
        <v>0.56496223719126359</v>
      </c>
    </row>
    <row r="72" spans="1:14" ht="15">
      <c r="A72" s="48">
        <f>Raw_Data!A72</f>
        <v>71</v>
      </c>
      <c r="B72" s="49">
        <f>Raw_Data!B72</f>
        <v>45509</v>
      </c>
      <c r="C72" s="48" t="str">
        <f>Raw_Data!C72</f>
        <v>EU</v>
      </c>
      <c r="D72" s="48" t="str">
        <f>Raw_Data!D72</f>
        <v>Software</v>
      </c>
      <c r="E72" s="48" t="str">
        <f>Raw_Data!E72</f>
        <v>Public Sector</v>
      </c>
      <c r="F72" s="48" t="str">
        <f>Raw_Data!F72</f>
        <v>Direct</v>
      </c>
      <c r="G72" s="50">
        <f>Raw_Data!G72</f>
        <v>139</v>
      </c>
      <c r="H72" s="50">
        <f>Raw_Data!H72</f>
        <v>443.4</v>
      </c>
      <c r="I72" s="50">
        <f>Raw_Data!I72</f>
        <v>61632.6</v>
      </c>
      <c r="J72" s="50">
        <f>Raw_Data!J72</f>
        <v>26728.83</v>
      </c>
      <c r="K72" s="48" t="str">
        <f t="shared" si="4"/>
        <v>2024-08</v>
      </c>
      <c r="L72" s="48" t="str">
        <f t="shared" si="5"/>
        <v>Q3-2024</v>
      </c>
      <c r="M72" s="50">
        <f t="shared" si="6"/>
        <v>34903.769999999997</v>
      </c>
      <c r="N72" s="51">
        <f t="shared" si="7"/>
        <v>0.56631993458007612</v>
      </c>
    </row>
    <row r="73" spans="1:14" ht="15">
      <c r="A73" s="48">
        <f>Raw_Data!A73</f>
        <v>72</v>
      </c>
      <c r="B73" s="49">
        <f>Raw_Data!B73</f>
        <v>45509</v>
      </c>
      <c r="C73" s="48" t="str">
        <f>Raw_Data!C73</f>
        <v>APAC</v>
      </c>
      <c r="D73" s="48" t="str">
        <f>Raw_Data!D73</f>
        <v>Hardware</v>
      </c>
      <c r="E73" s="48" t="str">
        <f>Raw_Data!E73</f>
        <v>Enterprise</v>
      </c>
      <c r="F73" s="48" t="str">
        <f>Raw_Data!F73</f>
        <v>Partner</v>
      </c>
      <c r="G73" s="50">
        <f>Raw_Data!G73</f>
        <v>134</v>
      </c>
      <c r="H73" s="50">
        <f>Raw_Data!H73</f>
        <v>552.05999999999995</v>
      </c>
      <c r="I73" s="50">
        <f>Raw_Data!I73</f>
        <v>73976.039999999994</v>
      </c>
      <c r="J73" s="50">
        <f>Raw_Data!J73</f>
        <v>48654.239999999998</v>
      </c>
      <c r="K73" s="48" t="str">
        <f t="shared" si="4"/>
        <v>2024-08</v>
      </c>
      <c r="L73" s="48" t="str">
        <f t="shared" si="5"/>
        <v>Q3-2024</v>
      </c>
      <c r="M73" s="50">
        <f t="shared" si="6"/>
        <v>25321.799999999996</v>
      </c>
      <c r="N73" s="51">
        <f t="shared" si="7"/>
        <v>0.34229731680690123</v>
      </c>
    </row>
    <row r="74" spans="1:14" ht="15">
      <c r="A74" s="48">
        <f>Raw_Data!A74</f>
        <v>73</v>
      </c>
      <c r="B74" s="49">
        <f>Raw_Data!B74</f>
        <v>45515</v>
      </c>
      <c r="C74" s="48" t="str">
        <f>Raw_Data!C74</f>
        <v>EU</v>
      </c>
      <c r="D74" s="48" t="str">
        <f>Raw_Data!D74</f>
        <v>Hardware</v>
      </c>
      <c r="E74" s="48" t="str">
        <f>Raw_Data!E74</f>
        <v>SMB</v>
      </c>
      <c r="F74" s="48" t="str">
        <f>Raw_Data!F74</f>
        <v>Partner</v>
      </c>
      <c r="G74" s="50">
        <f>Raw_Data!G74</f>
        <v>19</v>
      </c>
      <c r="H74" s="50">
        <f>Raw_Data!H74</f>
        <v>443.55</v>
      </c>
      <c r="I74" s="50">
        <f>Raw_Data!I74</f>
        <v>8427.4500000000007</v>
      </c>
      <c r="J74" s="50">
        <f>Raw_Data!J74</f>
        <v>5519.73</v>
      </c>
      <c r="K74" s="48" t="str">
        <f t="shared" si="4"/>
        <v>2024-08</v>
      </c>
      <c r="L74" s="48" t="str">
        <f t="shared" si="5"/>
        <v>Q3-2024</v>
      </c>
      <c r="M74" s="50">
        <f t="shared" si="6"/>
        <v>2907.7200000000012</v>
      </c>
      <c r="N74" s="51">
        <f t="shared" si="7"/>
        <v>0.34502963529893393</v>
      </c>
    </row>
    <row r="75" spans="1:14" ht="15">
      <c r="A75" s="48">
        <f>Raw_Data!A75</f>
        <v>74</v>
      </c>
      <c r="B75" s="49">
        <f>Raw_Data!B75</f>
        <v>45518</v>
      </c>
      <c r="C75" s="48" t="str">
        <f>Raw_Data!C75</f>
        <v>APAC</v>
      </c>
      <c r="D75" s="48" t="str">
        <f>Raw_Data!D75</f>
        <v>Hardware</v>
      </c>
      <c r="E75" s="48" t="str">
        <f>Raw_Data!E75</f>
        <v>Public Sector</v>
      </c>
      <c r="F75" s="48" t="str">
        <f>Raw_Data!F75</f>
        <v>Direct</v>
      </c>
      <c r="G75" s="50">
        <f>Raw_Data!G75</f>
        <v>68</v>
      </c>
      <c r="H75" s="50">
        <f>Raw_Data!H75</f>
        <v>462.11</v>
      </c>
      <c r="I75" s="50">
        <f>Raw_Data!I75</f>
        <v>31423.48</v>
      </c>
      <c r="J75" s="50">
        <f>Raw_Data!J75</f>
        <v>20609.71</v>
      </c>
      <c r="K75" s="48" t="str">
        <f t="shared" si="4"/>
        <v>2024-08</v>
      </c>
      <c r="L75" s="48" t="str">
        <f t="shared" si="5"/>
        <v>Q3-2024</v>
      </c>
      <c r="M75" s="50">
        <f t="shared" si="6"/>
        <v>10813.77</v>
      </c>
      <c r="N75" s="51">
        <f t="shared" si="7"/>
        <v>0.34413024910035428</v>
      </c>
    </row>
    <row r="76" spans="1:14" ht="15">
      <c r="A76" s="48">
        <f>Raw_Data!A76</f>
        <v>75</v>
      </c>
      <c r="B76" s="49">
        <f>Raw_Data!B76</f>
        <v>45521</v>
      </c>
      <c r="C76" s="48" t="str">
        <f>Raw_Data!C76</f>
        <v>US</v>
      </c>
      <c r="D76" s="48" t="str">
        <f>Raw_Data!D76</f>
        <v>Hardware</v>
      </c>
      <c r="E76" s="48" t="str">
        <f>Raw_Data!E76</f>
        <v>Mid-Market</v>
      </c>
      <c r="F76" s="48" t="str">
        <f>Raw_Data!F76</f>
        <v>Online</v>
      </c>
      <c r="G76" s="50">
        <f>Raw_Data!G76</f>
        <v>176</v>
      </c>
      <c r="H76" s="50">
        <f>Raw_Data!H76</f>
        <v>560.41999999999996</v>
      </c>
      <c r="I76" s="50">
        <f>Raw_Data!I76</f>
        <v>98633.919999999998</v>
      </c>
      <c r="J76" s="50">
        <f>Raw_Data!J76</f>
        <v>69797.899999999994</v>
      </c>
      <c r="K76" s="48" t="str">
        <f t="shared" si="4"/>
        <v>2024-08</v>
      </c>
      <c r="L76" s="48" t="str">
        <f t="shared" si="5"/>
        <v>Q3-2024</v>
      </c>
      <c r="M76" s="50">
        <f t="shared" si="6"/>
        <v>28836.020000000004</v>
      </c>
      <c r="N76" s="51">
        <f t="shared" si="7"/>
        <v>0.29235398937809637</v>
      </c>
    </row>
    <row r="77" spans="1:14" ht="15">
      <c r="A77" s="48">
        <f>Raw_Data!A77</f>
        <v>76</v>
      </c>
      <c r="B77" s="49">
        <f>Raw_Data!B77</f>
        <v>45522</v>
      </c>
      <c r="C77" s="48" t="str">
        <f>Raw_Data!C77</f>
        <v>EU</v>
      </c>
      <c r="D77" s="48" t="str">
        <f>Raw_Data!D77</f>
        <v>Training</v>
      </c>
      <c r="E77" s="48" t="str">
        <f>Raw_Data!E77</f>
        <v>Public Sector</v>
      </c>
      <c r="F77" s="48" t="str">
        <f>Raw_Data!F77</f>
        <v>Partner</v>
      </c>
      <c r="G77" s="50">
        <f>Raw_Data!G77</f>
        <v>21</v>
      </c>
      <c r="H77" s="50">
        <f>Raw_Data!H77</f>
        <v>192.08</v>
      </c>
      <c r="I77" s="50">
        <f>Raw_Data!I77</f>
        <v>4033.68</v>
      </c>
      <c r="J77" s="50">
        <f>Raw_Data!J77</f>
        <v>2064.23</v>
      </c>
      <c r="K77" s="48" t="str">
        <f t="shared" si="4"/>
        <v>2024-08</v>
      </c>
      <c r="L77" s="48" t="str">
        <f t="shared" si="5"/>
        <v>Q3-2024</v>
      </c>
      <c r="M77" s="50">
        <f t="shared" si="6"/>
        <v>1969.4499999999998</v>
      </c>
      <c r="N77" s="51">
        <f t="shared" si="7"/>
        <v>0.48825142301818686</v>
      </c>
    </row>
    <row r="78" spans="1:14" ht="15">
      <c r="A78" s="48">
        <f>Raw_Data!A78</f>
        <v>77</v>
      </c>
      <c r="B78" s="49">
        <f>Raw_Data!B78</f>
        <v>45526</v>
      </c>
      <c r="C78" s="48" t="str">
        <f>Raw_Data!C78</f>
        <v>APAC</v>
      </c>
      <c r="D78" s="48" t="str">
        <f>Raw_Data!D78</f>
        <v>Hardware</v>
      </c>
      <c r="E78" s="48" t="str">
        <f>Raw_Data!E78</f>
        <v>Mid-Market</v>
      </c>
      <c r="F78" s="48" t="str">
        <f>Raw_Data!F78</f>
        <v>Partner</v>
      </c>
      <c r="G78" s="50">
        <f>Raw_Data!G78</f>
        <v>103</v>
      </c>
      <c r="H78" s="50">
        <f>Raw_Data!H78</f>
        <v>441.73</v>
      </c>
      <c r="I78" s="50">
        <f>Raw_Data!I78</f>
        <v>45498.19</v>
      </c>
      <c r="J78" s="50">
        <f>Raw_Data!J78</f>
        <v>29931.4</v>
      </c>
      <c r="K78" s="48" t="str">
        <f t="shared" si="4"/>
        <v>2024-08</v>
      </c>
      <c r="L78" s="48" t="str">
        <f t="shared" si="5"/>
        <v>Q3-2024</v>
      </c>
      <c r="M78" s="50">
        <f t="shared" si="6"/>
        <v>15566.79</v>
      </c>
      <c r="N78" s="51">
        <f t="shared" si="7"/>
        <v>0.34214086318598608</v>
      </c>
    </row>
    <row r="79" spans="1:14" ht="15">
      <c r="A79" s="48">
        <f>Raw_Data!A79</f>
        <v>78</v>
      </c>
      <c r="B79" s="49">
        <f>Raw_Data!B79</f>
        <v>45528</v>
      </c>
      <c r="C79" s="48" t="str">
        <f>Raw_Data!C79</f>
        <v>UK</v>
      </c>
      <c r="D79" s="48" t="str">
        <f>Raw_Data!D79</f>
        <v>Hardware</v>
      </c>
      <c r="E79" s="48" t="str">
        <f>Raw_Data!E79</f>
        <v>Enterprise</v>
      </c>
      <c r="F79" s="48" t="str">
        <f>Raw_Data!F79</f>
        <v>Partner</v>
      </c>
      <c r="G79" s="50">
        <f>Raw_Data!G79</f>
        <v>45</v>
      </c>
      <c r="H79" s="50">
        <f>Raw_Data!H79</f>
        <v>604.41999999999996</v>
      </c>
      <c r="I79" s="50">
        <f>Raw_Data!I79</f>
        <v>27198.9</v>
      </c>
      <c r="J79" s="50">
        <f>Raw_Data!J79</f>
        <v>18025.34</v>
      </c>
      <c r="K79" s="48" t="str">
        <f t="shared" si="4"/>
        <v>2024-08</v>
      </c>
      <c r="L79" s="48" t="str">
        <f t="shared" si="5"/>
        <v>Q3-2024</v>
      </c>
      <c r="M79" s="50">
        <f t="shared" si="6"/>
        <v>9173.5600000000013</v>
      </c>
      <c r="N79" s="51">
        <f t="shared" si="7"/>
        <v>0.33727687516774579</v>
      </c>
    </row>
    <row r="80" spans="1:14" ht="15">
      <c r="A80" s="48">
        <f>Raw_Data!A80</f>
        <v>79</v>
      </c>
      <c r="B80" s="49">
        <f>Raw_Data!B80</f>
        <v>45529</v>
      </c>
      <c r="C80" s="48" t="str">
        <f>Raw_Data!C80</f>
        <v>US</v>
      </c>
      <c r="D80" s="48" t="str">
        <f>Raw_Data!D80</f>
        <v>Hardware</v>
      </c>
      <c r="E80" s="48" t="str">
        <f>Raw_Data!E80</f>
        <v>Enterprise</v>
      </c>
      <c r="F80" s="48" t="str">
        <f>Raw_Data!F80</f>
        <v>Direct</v>
      </c>
      <c r="G80" s="50">
        <f>Raw_Data!G80</f>
        <v>115</v>
      </c>
      <c r="H80" s="50">
        <f>Raw_Data!H80</f>
        <v>690.58</v>
      </c>
      <c r="I80" s="50">
        <f>Raw_Data!I80</f>
        <v>79416.7</v>
      </c>
      <c r="J80" s="50">
        <f>Raw_Data!J80</f>
        <v>56111.72</v>
      </c>
      <c r="K80" s="48" t="str">
        <f t="shared" si="4"/>
        <v>2024-08</v>
      </c>
      <c r="L80" s="48" t="str">
        <f t="shared" si="5"/>
        <v>Q3-2024</v>
      </c>
      <c r="M80" s="50">
        <f t="shared" si="6"/>
        <v>23304.979999999996</v>
      </c>
      <c r="N80" s="51">
        <f t="shared" si="7"/>
        <v>0.29345188102754205</v>
      </c>
    </row>
    <row r="81" spans="1:14" ht="15">
      <c r="A81" s="48">
        <f>Raw_Data!A81</f>
        <v>80</v>
      </c>
      <c r="B81" s="49">
        <f>Raw_Data!B81</f>
        <v>45532</v>
      </c>
      <c r="C81" s="48" t="str">
        <f>Raw_Data!C81</f>
        <v>US</v>
      </c>
      <c r="D81" s="48" t="str">
        <f>Raw_Data!D81</f>
        <v>Training</v>
      </c>
      <c r="E81" s="48" t="str">
        <f>Raw_Data!E81</f>
        <v>Enterprise</v>
      </c>
      <c r="F81" s="48" t="str">
        <f>Raw_Data!F81</f>
        <v>Direct</v>
      </c>
      <c r="G81" s="50">
        <f>Raw_Data!G81</f>
        <v>86</v>
      </c>
      <c r="H81" s="50">
        <f>Raw_Data!H81</f>
        <v>244.41</v>
      </c>
      <c r="I81" s="50">
        <f>Raw_Data!I81</f>
        <v>21019.26</v>
      </c>
      <c r="J81" s="50">
        <f>Raw_Data!J81</f>
        <v>10599.04</v>
      </c>
      <c r="K81" s="48" t="str">
        <f t="shared" si="4"/>
        <v>2024-08</v>
      </c>
      <c r="L81" s="48" t="str">
        <f t="shared" si="5"/>
        <v>Q3-2024</v>
      </c>
      <c r="M81" s="50">
        <f t="shared" si="6"/>
        <v>10420.219999999998</v>
      </c>
      <c r="N81" s="51">
        <f t="shared" si="7"/>
        <v>0.49574628221925976</v>
      </c>
    </row>
    <row r="82" spans="1:14" ht="15">
      <c r="A82" s="48">
        <f>Raw_Data!A82</f>
        <v>81</v>
      </c>
      <c r="B82" s="49">
        <f>Raw_Data!B82</f>
        <v>45537</v>
      </c>
      <c r="C82" s="48" t="str">
        <f>Raw_Data!C82</f>
        <v>EU</v>
      </c>
      <c r="D82" s="48" t="str">
        <f>Raw_Data!D82</f>
        <v>Services</v>
      </c>
      <c r="E82" s="48" t="str">
        <f>Raw_Data!E82</f>
        <v>Enterprise</v>
      </c>
      <c r="F82" s="48" t="str">
        <f>Raw_Data!F82</f>
        <v>Partner</v>
      </c>
      <c r="G82" s="50">
        <f>Raw_Data!G82</f>
        <v>145</v>
      </c>
      <c r="H82" s="50">
        <f>Raw_Data!H82</f>
        <v>375.3</v>
      </c>
      <c r="I82" s="50">
        <f>Raw_Data!I82</f>
        <v>54418.5</v>
      </c>
      <c r="J82" s="50">
        <f>Raw_Data!J82</f>
        <v>31032.53</v>
      </c>
      <c r="K82" s="48" t="str">
        <f t="shared" si="4"/>
        <v>2024-09</v>
      </c>
      <c r="L82" s="48" t="str">
        <f t="shared" si="5"/>
        <v>Q3-2024</v>
      </c>
      <c r="M82" s="50">
        <f t="shared" si="6"/>
        <v>23385.97</v>
      </c>
      <c r="N82" s="51">
        <f t="shared" si="7"/>
        <v>0.42974301018954952</v>
      </c>
    </row>
    <row r="83" spans="1:14" ht="15">
      <c r="A83" s="48">
        <f>Raw_Data!A83</f>
        <v>82</v>
      </c>
      <c r="B83" s="49">
        <f>Raw_Data!B83</f>
        <v>45541</v>
      </c>
      <c r="C83" s="48" t="str">
        <f>Raw_Data!C83</f>
        <v>UK</v>
      </c>
      <c r="D83" s="48" t="str">
        <f>Raw_Data!D83</f>
        <v>Training</v>
      </c>
      <c r="E83" s="48" t="str">
        <f>Raw_Data!E83</f>
        <v>Mid-Market</v>
      </c>
      <c r="F83" s="48" t="str">
        <f>Raw_Data!F83</f>
        <v>Online</v>
      </c>
      <c r="G83" s="50">
        <f>Raw_Data!G83</f>
        <v>35</v>
      </c>
      <c r="H83" s="50">
        <f>Raw_Data!H83</f>
        <v>158.58000000000001</v>
      </c>
      <c r="I83" s="50">
        <f>Raw_Data!I83</f>
        <v>5550.3</v>
      </c>
      <c r="J83" s="50">
        <f>Raw_Data!J83</f>
        <v>2761.85</v>
      </c>
      <c r="K83" s="48" t="str">
        <f t="shared" si="4"/>
        <v>2024-09</v>
      </c>
      <c r="L83" s="48" t="str">
        <f t="shared" si="5"/>
        <v>Q3-2024</v>
      </c>
      <c r="M83" s="50">
        <f t="shared" si="6"/>
        <v>2788.4500000000003</v>
      </c>
      <c r="N83" s="51">
        <f t="shared" si="7"/>
        <v>0.50239626686845762</v>
      </c>
    </row>
    <row r="84" spans="1:14" ht="15">
      <c r="A84" s="48">
        <f>Raw_Data!A84</f>
        <v>83</v>
      </c>
      <c r="B84" s="49">
        <f>Raw_Data!B84</f>
        <v>45544</v>
      </c>
      <c r="C84" s="48" t="str">
        <f>Raw_Data!C84</f>
        <v>EU</v>
      </c>
      <c r="D84" s="48" t="str">
        <f>Raw_Data!D84</f>
        <v>Hardware</v>
      </c>
      <c r="E84" s="48" t="str">
        <f>Raw_Data!E84</f>
        <v>Public Sector</v>
      </c>
      <c r="F84" s="48" t="str">
        <f>Raw_Data!F84</f>
        <v>Direct</v>
      </c>
      <c r="G84" s="50">
        <f>Raw_Data!G84</f>
        <v>155</v>
      </c>
      <c r="H84" s="50">
        <f>Raw_Data!H84</f>
        <v>528.79</v>
      </c>
      <c r="I84" s="50">
        <f>Raw_Data!I84</f>
        <v>81962.45</v>
      </c>
      <c r="J84" s="50">
        <f>Raw_Data!J84</f>
        <v>55791.18</v>
      </c>
      <c r="K84" s="48" t="str">
        <f t="shared" si="4"/>
        <v>2024-09</v>
      </c>
      <c r="L84" s="48" t="str">
        <f t="shared" si="5"/>
        <v>Q3-2024</v>
      </c>
      <c r="M84" s="50">
        <f t="shared" si="6"/>
        <v>26171.269999999997</v>
      </c>
      <c r="N84" s="51">
        <f t="shared" si="7"/>
        <v>0.31930804899072684</v>
      </c>
    </row>
    <row r="85" spans="1:14" ht="15">
      <c r="A85" s="48">
        <f>Raw_Data!A85</f>
        <v>84</v>
      </c>
      <c r="B85" s="49">
        <f>Raw_Data!B85</f>
        <v>45546</v>
      </c>
      <c r="C85" s="48" t="str">
        <f>Raw_Data!C85</f>
        <v>US</v>
      </c>
      <c r="D85" s="48" t="str">
        <f>Raw_Data!D85</f>
        <v>Hardware</v>
      </c>
      <c r="E85" s="48" t="str">
        <f>Raw_Data!E85</f>
        <v>Enterprise</v>
      </c>
      <c r="F85" s="48" t="str">
        <f>Raw_Data!F85</f>
        <v>Online</v>
      </c>
      <c r="G85" s="50">
        <f>Raw_Data!G85</f>
        <v>204</v>
      </c>
      <c r="H85" s="50">
        <f>Raw_Data!H85</f>
        <v>703.68</v>
      </c>
      <c r="I85" s="50">
        <f>Raw_Data!I85</f>
        <v>143550.72</v>
      </c>
      <c r="J85" s="50">
        <f>Raw_Data!J85</f>
        <v>95735.55</v>
      </c>
      <c r="K85" s="48" t="str">
        <f t="shared" si="4"/>
        <v>2024-09</v>
      </c>
      <c r="L85" s="48" t="str">
        <f t="shared" si="5"/>
        <v>Q3-2024</v>
      </c>
      <c r="M85" s="50">
        <f t="shared" si="6"/>
        <v>47815.17</v>
      </c>
      <c r="N85" s="51">
        <f t="shared" si="7"/>
        <v>0.33308902943851482</v>
      </c>
    </row>
    <row r="86" spans="1:14" ht="15">
      <c r="A86" s="48">
        <f>Raw_Data!A86</f>
        <v>85</v>
      </c>
      <c r="B86" s="49">
        <f>Raw_Data!B86</f>
        <v>45548</v>
      </c>
      <c r="C86" s="48" t="str">
        <f>Raw_Data!C86</f>
        <v>US</v>
      </c>
      <c r="D86" s="48" t="str">
        <f>Raw_Data!D86</f>
        <v>Training</v>
      </c>
      <c r="E86" s="48" t="str">
        <f>Raw_Data!E86</f>
        <v>Public Sector</v>
      </c>
      <c r="F86" s="48" t="str">
        <f>Raw_Data!F86</f>
        <v>Direct</v>
      </c>
      <c r="G86" s="50">
        <f>Raw_Data!G86</f>
        <v>57</v>
      </c>
      <c r="H86" s="50">
        <f>Raw_Data!H86</f>
        <v>225.86</v>
      </c>
      <c r="I86" s="50">
        <f>Raw_Data!I86</f>
        <v>12874.02</v>
      </c>
      <c r="J86" s="50">
        <f>Raw_Data!J86</f>
        <v>5856.21</v>
      </c>
      <c r="K86" s="48" t="str">
        <f t="shared" si="4"/>
        <v>2024-09</v>
      </c>
      <c r="L86" s="48" t="str">
        <f t="shared" si="5"/>
        <v>Q3-2024</v>
      </c>
      <c r="M86" s="50">
        <f t="shared" si="6"/>
        <v>7017.81</v>
      </c>
      <c r="N86" s="51">
        <f t="shared" si="7"/>
        <v>0.54511411354029282</v>
      </c>
    </row>
    <row r="87" spans="1:14" ht="15">
      <c r="A87" s="48">
        <f>Raw_Data!A87</f>
        <v>86</v>
      </c>
      <c r="B87" s="49">
        <f>Raw_Data!B87</f>
        <v>45554</v>
      </c>
      <c r="C87" s="48" t="str">
        <f>Raw_Data!C87</f>
        <v>APAC</v>
      </c>
      <c r="D87" s="48" t="str">
        <f>Raw_Data!D87</f>
        <v>Services</v>
      </c>
      <c r="E87" s="48" t="str">
        <f>Raw_Data!E87</f>
        <v>Public Sector</v>
      </c>
      <c r="F87" s="48" t="str">
        <f>Raw_Data!F87</f>
        <v>Partner</v>
      </c>
      <c r="G87" s="50">
        <f>Raw_Data!G87</f>
        <v>209</v>
      </c>
      <c r="H87" s="50">
        <f>Raw_Data!H87</f>
        <v>285.05</v>
      </c>
      <c r="I87" s="50">
        <f>Raw_Data!I87</f>
        <v>59575.45</v>
      </c>
      <c r="J87" s="50">
        <f>Raw_Data!J87</f>
        <v>31519.81</v>
      </c>
      <c r="K87" s="48" t="str">
        <f t="shared" si="4"/>
        <v>2024-09</v>
      </c>
      <c r="L87" s="48" t="str">
        <f t="shared" si="5"/>
        <v>Q3-2024</v>
      </c>
      <c r="M87" s="50">
        <f t="shared" si="6"/>
        <v>28055.639999999996</v>
      </c>
      <c r="N87" s="51">
        <f t="shared" si="7"/>
        <v>0.47092619527003149</v>
      </c>
    </row>
    <row r="88" spans="1:14" ht="15">
      <c r="A88" s="48">
        <f>Raw_Data!A88</f>
        <v>87</v>
      </c>
      <c r="B88" s="49">
        <f>Raw_Data!B88</f>
        <v>45554</v>
      </c>
      <c r="C88" s="48" t="str">
        <f>Raw_Data!C88</f>
        <v>EU</v>
      </c>
      <c r="D88" s="48" t="str">
        <f>Raw_Data!D88</f>
        <v>Software</v>
      </c>
      <c r="E88" s="48" t="str">
        <f>Raw_Data!E88</f>
        <v>Mid-Market</v>
      </c>
      <c r="F88" s="48" t="str">
        <f>Raw_Data!F88</f>
        <v>Partner</v>
      </c>
      <c r="G88" s="50">
        <f>Raw_Data!G88</f>
        <v>157</v>
      </c>
      <c r="H88" s="50">
        <f>Raw_Data!H88</f>
        <v>402.59</v>
      </c>
      <c r="I88" s="50">
        <f>Raw_Data!I88</f>
        <v>63206.63</v>
      </c>
      <c r="J88" s="50">
        <f>Raw_Data!J88</f>
        <v>25633.02</v>
      </c>
      <c r="K88" s="48" t="str">
        <f t="shared" si="4"/>
        <v>2024-09</v>
      </c>
      <c r="L88" s="48" t="str">
        <f t="shared" si="5"/>
        <v>Q3-2024</v>
      </c>
      <c r="M88" s="50">
        <f t="shared" si="6"/>
        <v>37573.61</v>
      </c>
      <c r="N88" s="51">
        <f t="shared" si="7"/>
        <v>0.59445678404306646</v>
      </c>
    </row>
    <row r="89" spans="1:14" ht="15">
      <c r="A89" s="48">
        <f>Raw_Data!A89</f>
        <v>88</v>
      </c>
      <c r="B89" s="49">
        <f>Raw_Data!B89</f>
        <v>45558</v>
      </c>
      <c r="C89" s="48" t="str">
        <f>Raw_Data!C89</f>
        <v>EU</v>
      </c>
      <c r="D89" s="48" t="str">
        <f>Raw_Data!D89</f>
        <v>Software</v>
      </c>
      <c r="E89" s="48" t="str">
        <f>Raw_Data!E89</f>
        <v>Public Sector</v>
      </c>
      <c r="F89" s="48" t="str">
        <f>Raw_Data!F89</f>
        <v>Partner</v>
      </c>
      <c r="G89" s="50">
        <f>Raw_Data!G89</f>
        <v>120</v>
      </c>
      <c r="H89" s="50">
        <f>Raw_Data!H89</f>
        <v>455.37</v>
      </c>
      <c r="I89" s="50">
        <f>Raw_Data!I89</f>
        <v>54644.4</v>
      </c>
      <c r="J89" s="50">
        <f>Raw_Data!J89</f>
        <v>22057.23</v>
      </c>
      <c r="K89" s="48" t="str">
        <f t="shared" si="4"/>
        <v>2024-09</v>
      </c>
      <c r="L89" s="48" t="str">
        <f t="shared" si="5"/>
        <v>Q3-2024</v>
      </c>
      <c r="M89" s="50">
        <f t="shared" si="6"/>
        <v>32587.170000000002</v>
      </c>
      <c r="N89" s="51">
        <f t="shared" si="7"/>
        <v>0.59634967169554431</v>
      </c>
    </row>
    <row r="90" spans="1:14" ht="15">
      <c r="A90" s="48">
        <f>Raw_Data!A90</f>
        <v>89</v>
      </c>
      <c r="B90" s="49">
        <f>Raw_Data!B90</f>
        <v>45561</v>
      </c>
      <c r="C90" s="48" t="str">
        <f>Raw_Data!C90</f>
        <v>US</v>
      </c>
      <c r="D90" s="48" t="str">
        <f>Raw_Data!D90</f>
        <v>Software</v>
      </c>
      <c r="E90" s="48" t="str">
        <f>Raw_Data!E90</f>
        <v>Public Sector</v>
      </c>
      <c r="F90" s="48" t="str">
        <f>Raw_Data!F90</f>
        <v>Partner</v>
      </c>
      <c r="G90" s="50">
        <f>Raw_Data!G90</f>
        <v>162</v>
      </c>
      <c r="H90" s="50">
        <f>Raw_Data!H90</f>
        <v>504.71</v>
      </c>
      <c r="I90" s="50">
        <f>Raw_Data!I90</f>
        <v>81763.02</v>
      </c>
      <c r="J90" s="50">
        <f>Raw_Data!J90</f>
        <v>32556.55</v>
      </c>
      <c r="K90" s="48" t="str">
        <f t="shared" si="4"/>
        <v>2024-09</v>
      </c>
      <c r="L90" s="48" t="str">
        <f t="shared" si="5"/>
        <v>Q3-2024</v>
      </c>
      <c r="M90" s="50">
        <f t="shared" si="6"/>
        <v>49206.47</v>
      </c>
      <c r="N90" s="51">
        <f t="shared" si="7"/>
        <v>0.60181815691250151</v>
      </c>
    </row>
    <row r="91" spans="1:14" ht="15">
      <c r="A91" s="48">
        <f>Raw_Data!A91</f>
        <v>90</v>
      </c>
      <c r="B91" s="49">
        <f>Raw_Data!B91</f>
        <v>45566</v>
      </c>
      <c r="C91" s="48" t="str">
        <f>Raw_Data!C91</f>
        <v>EU</v>
      </c>
      <c r="D91" s="48" t="str">
        <f>Raw_Data!D91</f>
        <v>Software</v>
      </c>
      <c r="E91" s="48" t="str">
        <f>Raw_Data!E91</f>
        <v>Enterprise</v>
      </c>
      <c r="F91" s="48" t="str">
        <f>Raw_Data!F91</f>
        <v>Direct</v>
      </c>
      <c r="G91" s="50">
        <f>Raw_Data!G91</f>
        <v>113</v>
      </c>
      <c r="H91" s="50">
        <f>Raw_Data!H91</f>
        <v>519.89</v>
      </c>
      <c r="I91" s="50">
        <f>Raw_Data!I91</f>
        <v>58747.57</v>
      </c>
      <c r="J91" s="50">
        <f>Raw_Data!J91</f>
        <v>24614.1</v>
      </c>
      <c r="K91" s="48" t="str">
        <f t="shared" si="4"/>
        <v>2024-10</v>
      </c>
      <c r="L91" s="48" t="str">
        <f t="shared" si="5"/>
        <v>Q4-2024</v>
      </c>
      <c r="M91" s="50">
        <f t="shared" si="6"/>
        <v>34133.47</v>
      </c>
      <c r="N91" s="51">
        <f t="shared" si="7"/>
        <v>0.58101926598836351</v>
      </c>
    </row>
    <row r="92" spans="1:14" ht="15">
      <c r="A92" s="48">
        <f>Raw_Data!A92</f>
        <v>91</v>
      </c>
      <c r="B92" s="49">
        <f>Raw_Data!B92</f>
        <v>45567</v>
      </c>
      <c r="C92" s="48" t="str">
        <f>Raw_Data!C92</f>
        <v>UK</v>
      </c>
      <c r="D92" s="48" t="str">
        <f>Raw_Data!D92</f>
        <v>Services</v>
      </c>
      <c r="E92" s="48" t="str">
        <f>Raw_Data!E92</f>
        <v>SMB</v>
      </c>
      <c r="F92" s="48" t="str">
        <f>Raw_Data!F92</f>
        <v>Partner</v>
      </c>
      <c r="G92" s="50">
        <f>Raw_Data!G92</f>
        <v>196</v>
      </c>
      <c r="H92" s="50">
        <f>Raw_Data!H92</f>
        <v>263.39</v>
      </c>
      <c r="I92" s="50">
        <f>Raw_Data!I92</f>
        <v>51624.44</v>
      </c>
      <c r="J92" s="50">
        <f>Raw_Data!J92</f>
        <v>29543.439999999999</v>
      </c>
      <c r="K92" s="48" t="str">
        <f t="shared" si="4"/>
        <v>2024-10</v>
      </c>
      <c r="L92" s="48" t="str">
        <f t="shared" si="5"/>
        <v>Q4-2024</v>
      </c>
      <c r="M92" s="50">
        <f t="shared" si="6"/>
        <v>22081.000000000004</v>
      </c>
      <c r="N92" s="51">
        <f t="shared" si="7"/>
        <v>0.42772376804474788</v>
      </c>
    </row>
    <row r="93" spans="1:14" ht="15">
      <c r="A93" s="48">
        <f>Raw_Data!A93</f>
        <v>92</v>
      </c>
      <c r="B93" s="49">
        <f>Raw_Data!B93</f>
        <v>45572</v>
      </c>
      <c r="C93" s="48" t="str">
        <f>Raw_Data!C93</f>
        <v>APAC</v>
      </c>
      <c r="D93" s="48" t="str">
        <f>Raw_Data!D93</f>
        <v>Software</v>
      </c>
      <c r="E93" s="48" t="str">
        <f>Raw_Data!E93</f>
        <v>SMB</v>
      </c>
      <c r="F93" s="48" t="str">
        <f>Raw_Data!F93</f>
        <v>Partner</v>
      </c>
      <c r="G93" s="50">
        <f>Raw_Data!G93</f>
        <v>150</v>
      </c>
      <c r="H93" s="50">
        <f>Raw_Data!H93</f>
        <v>336.15</v>
      </c>
      <c r="I93" s="50">
        <f>Raw_Data!I93</f>
        <v>50422.5</v>
      </c>
      <c r="J93" s="50">
        <f>Raw_Data!J93</f>
        <v>22851.26</v>
      </c>
      <c r="K93" s="48" t="str">
        <f t="shared" si="4"/>
        <v>2024-10</v>
      </c>
      <c r="L93" s="48" t="str">
        <f t="shared" si="5"/>
        <v>Q4-2024</v>
      </c>
      <c r="M93" s="50">
        <f t="shared" si="6"/>
        <v>27571.24</v>
      </c>
      <c r="N93" s="51">
        <f t="shared" si="7"/>
        <v>0.54680430363429033</v>
      </c>
    </row>
    <row r="94" spans="1:14" ht="15">
      <c r="A94" s="48">
        <f>Raw_Data!A94</f>
        <v>93</v>
      </c>
      <c r="B94" s="49">
        <f>Raw_Data!B94</f>
        <v>45572</v>
      </c>
      <c r="C94" s="48" t="str">
        <f>Raw_Data!C94</f>
        <v>UK</v>
      </c>
      <c r="D94" s="48" t="str">
        <f>Raw_Data!D94</f>
        <v>Services</v>
      </c>
      <c r="E94" s="48" t="str">
        <f>Raw_Data!E94</f>
        <v>Mid-Market</v>
      </c>
      <c r="F94" s="48" t="str">
        <f>Raw_Data!F94</f>
        <v>Direct</v>
      </c>
      <c r="G94" s="50">
        <f>Raw_Data!G94</f>
        <v>148</v>
      </c>
      <c r="H94" s="50">
        <f>Raw_Data!H94</f>
        <v>305.51</v>
      </c>
      <c r="I94" s="50">
        <f>Raw_Data!I94</f>
        <v>45215.48</v>
      </c>
      <c r="J94" s="50">
        <f>Raw_Data!J94</f>
        <v>23832.080000000002</v>
      </c>
      <c r="K94" s="48" t="str">
        <f t="shared" si="4"/>
        <v>2024-10</v>
      </c>
      <c r="L94" s="48" t="str">
        <f t="shared" si="5"/>
        <v>Q4-2024</v>
      </c>
      <c r="M94" s="50">
        <f t="shared" si="6"/>
        <v>21383.4</v>
      </c>
      <c r="N94" s="51">
        <f t="shared" si="7"/>
        <v>0.47292210543822605</v>
      </c>
    </row>
    <row r="95" spans="1:14" ht="15">
      <c r="A95" s="48">
        <f>Raw_Data!A95</f>
        <v>94</v>
      </c>
      <c r="B95" s="49">
        <f>Raw_Data!B95</f>
        <v>45577</v>
      </c>
      <c r="C95" s="48" t="str">
        <f>Raw_Data!C95</f>
        <v>UK</v>
      </c>
      <c r="D95" s="48" t="str">
        <f>Raw_Data!D95</f>
        <v>Software</v>
      </c>
      <c r="E95" s="48" t="str">
        <f>Raw_Data!E95</f>
        <v>SMB</v>
      </c>
      <c r="F95" s="48" t="str">
        <f>Raw_Data!F95</f>
        <v>Direct</v>
      </c>
      <c r="G95" s="50">
        <f>Raw_Data!G95</f>
        <v>74</v>
      </c>
      <c r="H95" s="50">
        <f>Raw_Data!H95</f>
        <v>346.49</v>
      </c>
      <c r="I95" s="50">
        <f>Raw_Data!I95</f>
        <v>25640.26</v>
      </c>
      <c r="J95" s="50">
        <f>Raw_Data!J95</f>
        <v>10062.35</v>
      </c>
      <c r="K95" s="48" t="str">
        <f t="shared" si="4"/>
        <v>2024-10</v>
      </c>
      <c r="L95" s="48" t="str">
        <f t="shared" si="5"/>
        <v>Q4-2024</v>
      </c>
      <c r="M95" s="50">
        <f t="shared" si="6"/>
        <v>15577.909999999998</v>
      </c>
      <c r="N95" s="51">
        <f t="shared" si="7"/>
        <v>0.60755663164102081</v>
      </c>
    </row>
    <row r="96" spans="1:14" ht="15">
      <c r="A96" s="48">
        <f>Raw_Data!A96</f>
        <v>95</v>
      </c>
      <c r="B96" s="49">
        <f>Raw_Data!B96</f>
        <v>45579</v>
      </c>
      <c r="C96" s="48" t="str">
        <f>Raw_Data!C96</f>
        <v>EU</v>
      </c>
      <c r="D96" s="48" t="str">
        <f>Raw_Data!D96</f>
        <v>Hardware</v>
      </c>
      <c r="E96" s="48" t="str">
        <f>Raw_Data!E96</f>
        <v>Public Sector</v>
      </c>
      <c r="F96" s="48" t="str">
        <f>Raw_Data!F96</f>
        <v>Online</v>
      </c>
      <c r="G96" s="50">
        <f>Raw_Data!G96</f>
        <v>210</v>
      </c>
      <c r="H96" s="50">
        <f>Raw_Data!H96</f>
        <v>534.55999999999995</v>
      </c>
      <c r="I96" s="50">
        <f>Raw_Data!I96</f>
        <v>112257.60000000001</v>
      </c>
      <c r="J96" s="50">
        <f>Raw_Data!J96</f>
        <v>73480.78</v>
      </c>
      <c r="K96" s="48" t="str">
        <f t="shared" si="4"/>
        <v>2024-10</v>
      </c>
      <c r="L96" s="48" t="str">
        <f t="shared" si="5"/>
        <v>Q4-2024</v>
      </c>
      <c r="M96" s="50">
        <f t="shared" si="6"/>
        <v>38776.820000000007</v>
      </c>
      <c r="N96" s="51">
        <f t="shared" si="7"/>
        <v>0.34542712475591858</v>
      </c>
    </row>
    <row r="97" spans="1:14" ht="15">
      <c r="A97" s="48">
        <f>Raw_Data!A97</f>
        <v>96</v>
      </c>
      <c r="B97" s="49">
        <f>Raw_Data!B97</f>
        <v>45584</v>
      </c>
      <c r="C97" s="48" t="str">
        <f>Raw_Data!C97</f>
        <v>EU</v>
      </c>
      <c r="D97" s="48" t="str">
        <f>Raw_Data!D97</f>
        <v>Training</v>
      </c>
      <c r="E97" s="48" t="str">
        <f>Raw_Data!E97</f>
        <v>Enterprise</v>
      </c>
      <c r="F97" s="48" t="str">
        <f>Raw_Data!F97</f>
        <v>Direct</v>
      </c>
      <c r="G97" s="50">
        <f>Raw_Data!G97</f>
        <v>217</v>
      </c>
      <c r="H97" s="50">
        <f>Raw_Data!H97</f>
        <v>240.46</v>
      </c>
      <c r="I97" s="50">
        <f>Raw_Data!I97</f>
        <v>52179.82</v>
      </c>
      <c r="J97" s="50">
        <f>Raw_Data!J97</f>
        <v>23516.400000000001</v>
      </c>
      <c r="K97" s="48" t="str">
        <f t="shared" si="4"/>
        <v>2024-10</v>
      </c>
      <c r="L97" s="48" t="str">
        <f t="shared" si="5"/>
        <v>Q4-2024</v>
      </c>
      <c r="M97" s="50">
        <f t="shared" si="6"/>
        <v>28663.42</v>
      </c>
      <c r="N97" s="51">
        <f t="shared" si="7"/>
        <v>0.5493200244845613</v>
      </c>
    </row>
    <row r="98" spans="1:14" ht="15">
      <c r="A98" s="48">
        <f>Raw_Data!A98</f>
        <v>97</v>
      </c>
      <c r="B98" s="49">
        <f>Raw_Data!B98</f>
        <v>45585</v>
      </c>
      <c r="C98" s="48" t="str">
        <f>Raw_Data!C98</f>
        <v>APAC</v>
      </c>
      <c r="D98" s="48" t="str">
        <f>Raw_Data!D98</f>
        <v>Hardware</v>
      </c>
      <c r="E98" s="48" t="str">
        <f>Raw_Data!E98</f>
        <v>Enterprise</v>
      </c>
      <c r="F98" s="48" t="str">
        <f>Raw_Data!F98</f>
        <v>Online</v>
      </c>
      <c r="G98" s="50">
        <f>Raw_Data!G98</f>
        <v>77</v>
      </c>
      <c r="H98" s="50">
        <f>Raw_Data!H98</f>
        <v>552.38</v>
      </c>
      <c r="I98" s="50">
        <f>Raw_Data!I98</f>
        <v>42533.26</v>
      </c>
      <c r="J98" s="50">
        <f>Raw_Data!J98</f>
        <v>28295.67</v>
      </c>
      <c r="K98" s="48" t="str">
        <f t="shared" si="4"/>
        <v>2024-10</v>
      </c>
      <c r="L98" s="48" t="str">
        <f t="shared" si="5"/>
        <v>Q4-2024</v>
      </c>
      <c r="M98" s="50">
        <f t="shared" si="6"/>
        <v>14237.590000000004</v>
      </c>
      <c r="N98" s="51">
        <f t="shared" si="7"/>
        <v>0.33474015394070433</v>
      </c>
    </row>
    <row r="99" spans="1:14" ht="15">
      <c r="A99" s="48">
        <f>Raw_Data!A99</f>
        <v>98</v>
      </c>
      <c r="B99" s="49">
        <f>Raw_Data!B99</f>
        <v>45587</v>
      </c>
      <c r="C99" s="48" t="str">
        <f>Raw_Data!C99</f>
        <v>UK</v>
      </c>
      <c r="D99" s="48" t="str">
        <f>Raw_Data!D99</f>
        <v>Training</v>
      </c>
      <c r="E99" s="48" t="str">
        <f>Raw_Data!E99</f>
        <v>Enterprise</v>
      </c>
      <c r="F99" s="48" t="str">
        <f>Raw_Data!F99</f>
        <v>Direct</v>
      </c>
      <c r="G99" s="50">
        <f>Raw_Data!G99</f>
        <v>20</v>
      </c>
      <c r="H99" s="50">
        <f>Raw_Data!H99</f>
        <v>208.27</v>
      </c>
      <c r="I99" s="50">
        <f>Raw_Data!I99</f>
        <v>4165.3999999999996</v>
      </c>
      <c r="J99" s="50">
        <f>Raw_Data!J99</f>
        <v>2114</v>
      </c>
      <c r="K99" s="48" t="str">
        <f t="shared" si="4"/>
        <v>2024-10</v>
      </c>
      <c r="L99" s="48" t="str">
        <f t="shared" si="5"/>
        <v>Q4-2024</v>
      </c>
      <c r="M99" s="50">
        <f t="shared" si="6"/>
        <v>2051.3999999999996</v>
      </c>
      <c r="N99" s="51">
        <f t="shared" si="7"/>
        <v>0.49248571565755983</v>
      </c>
    </row>
    <row r="100" spans="1:14" ht="15">
      <c r="A100" s="48">
        <f>Raw_Data!A100</f>
        <v>99</v>
      </c>
      <c r="B100" s="49">
        <f>Raw_Data!B100</f>
        <v>45592</v>
      </c>
      <c r="C100" s="48" t="str">
        <f>Raw_Data!C100</f>
        <v>UK</v>
      </c>
      <c r="D100" s="48" t="str">
        <f>Raw_Data!D100</f>
        <v>Hardware</v>
      </c>
      <c r="E100" s="48" t="str">
        <f>Raw_Data!E100</f>
        <v>Mid-Market</v>
      </c>
      <c r="F100" s="48" t="str">
        <f>Raw_Data!F100</f>
        <v>Online</v>
      </c>
      <c r="G100" s="50">
        <f>Raw_Data!G100</f>
        <v>123</v>
      </c>
      <c r="H100" s="50">
        <f>Raw_Data!H100</f>
        <v>489.97</v>
      </c>
      <c r="I100" s="50">
        <f>Raw_Data!I100</f>
        <v>60266.31</v>
      </c>
      <c r="J100" s="50">
        <f>Raw_Data!J100</f>
        <v>40061.49</v>
      </c>
      <c r="K100" s="48" t="str">
        <f t="shared" si="4"/>
        <v>2024-10</v>
      </c>
      <c r="L100" s="48" t="str">
        <f t="shared" si="5"/>
        <v>Q4-2024</v>
      </c>
      <c r="M100" s="50">
        <f t="shared" si="6"/>
        <v>20204.82</v>
      </c>
      <c r="N100" s="51">
        <f t="shared" si="7"/>
        <v>0.33525895313650361</v>
      </c>
    </row>
    <row r="101" spans="1:14" ht="15">
      <c r="A101" s="48">
        <f>Raw_Data!A101</f>
        <v>100</v>
      </c>
      <c r="B101" s="49">
        <f>Raw_Data!B101</f>
        <v>45592</v>
      </c>
      <c r="C101" s="48" t="str">
        <f>Raw_Data!C101</f>
        <v>US</v>
      </c>
      <c r="D101" s="48" t="str">
        <f>Raw_Data!D101</f>
        <v>Training</v>
      </c>
      <c r="E101" s="48" t="str">
        <f>Raw_Data!E101</f>
        <v>Enterprise</v>
      </c>
      <c r="F101" s="48" t="str">
        <f>Raw_Data!F101</f>
        <v>Online</v>
      </c>
      <c r="G101" s="50">
        <f>Raw_Data!G101</f>
        <v>116</v>
      </c>
      <c r="H101" s="50">
        <f>Raw_Data!H101</f>
        <v>247.88</v>
      </c>
      <c r="I101" s="50">
        <f>Raw_Data!I101</f>
        <v>28754.080000000002</v>
      </c>
      <c r="J101" s="50">
        <f>Raw_Data!J101</f>
        <v>14429.06</v>
      </c>
      <c r="K101" s="48" t="str">
        <f t="shared" si="4"/>
        <v>2024-10</v>
      </c>
      <c r="L101" s="48" t="str">
        <f t="shared" si="5"/>
        <v>Q4-2024</v>
      </c>
      <c r="M101" s="50">
        <f t="shared" si="6"/>
        <v>14325.020000000002</v>
      </c>
      <c r="N101" s="51">
        <f t="shared" si="7"/>
        <v>0.49819086543544433</v>
      </c>
    </row>
    <row r="102" spans="1:14" ht="15">
      <c r="A102" s="48">
        <f>Raw_Data!A102</f>
        <v>101</v>
      </c>
      <c r="B102" s="49">
        <f>Raw_Data!B102</f>
        <v>45599</v>
      </c>
      <c r="C102" s="48" t="str">
        <f>Raw_Data!C102</f>
        <v>UK</v>
      </c>
      <c r="D102" s="48" t="str">
        <f>Raw_Data!D102</f>
        <v>Services</v>
      </c>
      <c r="E102" s="48" t="str">
        <f>Raw_Data!E102</f>
        <v>Public Sector</v>
      </c>
      <c r="F102" s="48" t="str">
        <f>Raw_Data!F102</f>
        <v>Direct</v>
      </c>
      <c r="G102" s="50">
        <f>Raw_Data!G102</f>
        <v>94</v>
      </c>
      <c r="H102" s="50">
        <f>Raw_Data!H102</f>
        <v>328</v>
      </c>
      <c r="I102" s="50">
        <f>Raw_Data!I102</f>
        <v>30832</v>
      </c>
      <c r="J102" s="50">
        <f>Raw_Data!J102</f>
        <v>16421.3</v>
      </c>
      <c r="K102" s="48" t="str">
        <f t="shared" si="4"/>
        <v>2024-11</v>
      </c>
      <c r="L102" s="48" t="str">
        <f t="shared" si="5"/>
        <v>Q4-2024</v>
      </c>
      <c r="M102" s="50">
        <f t="shared" si="6"/>
        <v>14410.7</v>
      </c>
      <c r="N102" s="51">
        <f t="shared" si="7"/>
        <v>0.46739426569797615</v>
      </c>
    </row>
    <row r="103" spans="1:14" ht="15">
      <c r="A103" s="48">
        <f>Raw_Data!A103</f>
        <v>102</v>
      </c>
      <c r="B103" s="49">
        <f>Raw_Data!B103</f>
        <v>45601</v>
      </c>
      <c r="C103" s="48" t="str">
        <f>Raw_Data!C103</f>
        <v>EU</v>
      </c>
      <c r="D103" s="48" t="str">
        <f>Raw_Data!D103</f>
        <v>Hardware</v>
      </c>
      <c r="E103" s="48" t="str">
        <f>Raw_Data!E103</f>
        <v>Enterprise</v>
      </c>
      <c r="F103" s="48" t="str">
        <f>Raw_Data!F103</f>
        <v>Direct</v>
      </c>
      <c r="G103" s="50">
        <f>Raw_Data!G103</f>
        <v>174</v>
      </c>
      <c r="H103" s="50">
        <f>Raw_Data!H103</f>
        <v>655.52</v>
      </c>
      <c r="I103" s="50">
        <f>Raw_Data!I103</f>
        <v>114060.48</v>
      </c>
      <c r="J103" s="50">
        <f>Raw_Data!J103</f>
        <v>75528.039999999994</v>
      </c>
      <c r="K103" s="48" t="str">
        <f t="shared" si="4"/>
        <v>2024-11</v>
      </c>
      <c r="L103" s="48" t="str">
        <f t="shared" si="5"/>
        <v>Q4-2024</v>
      </c>
      <c r="M103" s="50">
        <f t="shared" si="6"/>
        <v>38532.44</v>
      </c>
      <c r="N103" s="51">
        <f t="shared" si="7"/>
        <v>0.33782463479024466</v>
      </c>
    </row>
    <row r="104" spans="1:14" ht="15">
      <c r="A104" s="48">
        <f>Raw_Data!A104</f>
        <v>103</v>
      </c>
      <c r="B104" s="49">
        <f>Raw_Data!B104</f>
        <v>45602</v>
      </c>
      <c r="C104" s="48" t="str">
        <f>Raw_Data!C104</f>
        <v>APAC</v>
      </c>
      <c r="D104" s="48" t="str">
        <f>Raw_Data!D104</f>
        <v>Training</v>
      </c>
      <c r="E104" s="48" t="str">
        <f>Raw_Data!E104</f>
        <v>SMB</v>
      </c>
      <c r="F104" s="48" t="str">
        <f>Raw_Data!F104</f>
        <v>Online</v>
      </c>
      <c r="G104" s="50">
        <f>Raw_Data!G104</f>
        <v>52</v>
      </c>
      <c r="H104" s="50">
        <f>Raw_Data!H104</f>
        <v>166.07</v>
      </c>
      <c r="I104" s="50">
        <f>Raw_Data!I104</f>
        <v>8635.64</v>
      </c>
      <c r="J104" s="50">
        <f>Raw_Data!J104</f>
        <v>3916.55</v>
      </c>
      <c r="K104" s="48" t="str">
        <f t="shared" si="4"/>
        <v>2024-11</v>
      </c>
      <c r="L104" s="48" t="str">
        <f t="shared" si="5"/>
        <v>Q4-2024</v>
      </c>
      <c r="M104" s="50">
        <f t="shared" si="6"/>
        <v>4719.0899999999992</v>
      </c>
      <c r="N104" s="51">
        <f t="shared" si="7"/>
        <v>0.54646673552857683</v>
      </c>
    </row>
    <row r="105" spans="1:14" ht="15">
      <c r="A105" s="48">
        <f>Raw_Data!A105</f>
        <v>104</v>
      </c>
      <c r="B105" s="49">
        <f>Raw_Data!B105</f>
        <v>45604</v>
      </c>
      <c r="C105" s="48" t="str">
        <f>Raw_Data!C105</f>
        <v>EU</v>
      </c>
      <c r="D105" s="48" t="str">
        <f>Raw_Data!D105</f>
        <v>Training</v>
      </c>
      <c r="E105" s="48" t="str">
        <f>Raw_Data!E105</f>
        <v>SMB</v>
      </c>
      <c r="F105" s="48" t="str">
        <f>Raw_Data!F105</f>
        <v>Online</v>
      </c>
      <c r="G105" s="50">
        <f>Raw_Data!G105</f>
        <v>30</v>
      </c>
      <c r="H105" s="50">
        <f>Raw_Data!H105</f>
        <v>161.97999999999999</v>
      </c>
      <c r="I105" s="50">
        <f>Raw_Data!I105</f>
        <v>4859.3999999999996</v>
      </c>
      <c r="J105" s="50">
        <f>Raw_Data!J105</f>
        <v>2328.75</v>
      </c>
      <c r="K105" s="48" t="str">
        <f t="shared" si="4"/>
        <v>2024-11</v>
      </c>
      <c r="L105" s="48" t="str">
        <f t="shared" si="5"/>
        <v>Q4-2024</v>
      </c>
      <c r="M105" s="50">
        <f t="shared" si="6"/>
        <v>2530.6499999999996</v>
      </c>
      <c r="N105" s="51">
        <f t="shared" si="7"/>
        <v>0.5207741696505741</v>
      </c>
    </row>
    <row r="106" spans="1:14" ht="15">
      <c r="A106" s="48">
        <f>Raw_Data!A106</f>
        <v>105</v>
      </c>
      <c r="B106" s="49">
        <f>Raw_Data!B106</f>
        <v>45609</v>
      </c>
      <c r="C106" s="48" t="str">
        <f>Raw_Data!C106</f>
        <v>UK</v>
      </c>
      <c r="D106" s="48" t="str">
        <f>Raw_Data!D106</f>
        <v>Software</v>
      </c>
      <c r="E106" s="48" t="str">
        <f>Raw_Data!E106</f>
        <v>Mid-Market</v>
      </c>
      <c r="F106" s="48" t="str">
        <f>Raw_Data!F106</f>
        <v>Partner</v>
      </c>
      <c r="G106" s="50">
        <f>Raw_Data!G106</f>
        <v>63</v>
      </c>
      <c r="H106" s="50">
        <f>Raw_Data!H106</f>
        <v>391.88</v>
      </c>
      <c r="I106" s="50">
        <f>Raw_Data!I106</f>
        <v>24688.44</v>
      </c>
      <c r="J106" s="50">
        <f>Raw_Data!J106</f>
        <v>11130.35</v>
      </c>
      <c r="K106" s="48" t="str">
        <f t="shared" si="4"/>
        <v>2024-11</v>
      </c>
      <c r="L106" s="48" t="str">
        <f t="shared" si="5"/>
        <v>Q4-2024</v>
      </c>
      <c r="M106" s="50">
        <f t="shared" si="6"/>
        <v>13558.089999999998</v>
      </c>
      <c r="N106" s="51">
        <f t="shared" si="7"/>
        <v>0.54916754562054138</v>
      </c>
    </row>
    <row r="107" spans="1:14" ht="15">
      <c r="A107" s="48">
        <f>Raw_Data!A107</f>
        <v>106</v>
      </c>
      <c r="B107" s="49">
        <f>Raw_Data!B107</f>
        <v>45613</v>
      </c>
      <c r="C107" s="48" t="str">
        <f>Raw_Data!C107</f>
        <v>UK</v>
      </c>
      <c r="D107" s="48" t="str">
        <f>Raw_Data!D107</f>
        <v>Hardware</v>
      </c>
      <c r="E107" s="48" t="str">
        <f>Raw_Data!E107</f>
        <v>Public Sector</v>
      </c>
      <c r="F107" s="48" t="str">
        <f>Raw_Data!F107</f>
        <v>Partner</v>
      </c>
      <c r="G107" s="50">
        <f>Raw_Data!G107</f>
        <v>99</v>
      </c>
      <c r="H107" s="50">
        <f>Raw_Data!H107</f>
        <v>521.79999999999995</v>
      </c>
      <c r="I107" s="50">
        <f>Raw_Data!I107</f>
        <v>51658.2</v>
      </c>
      <c r="J107" s="50">
        <f>Raw_Data!J107</f>
        <v>33943.69</v>
      </c>
      <c r="K107" s="48" t="str">
        <f t="shared" si="4"/>
        <v>2024-11</v>
      </c>
      <c r="L107" s="48" t="str">
        <f t="shared" si="5"/>
        <v>Q4-2024</v>
      </c>
      <c r="M107" s="50">
        <f t="shared" si="6"/>
        <v>17714.509999999995</v>
      </c>
      <c r="N107" s="51">
        <f t="shared" si="7"/>
        <v>0.34291767812273743</v>
      </c>
    </row>
    <row r="108" spans="1:14" ht="15">
      <c r="A108" s="48">
        <f>Raw_Data!A108</f>
        <v>107</v>
      </c>
      <c r="B108" s="49">
        <f>Raw_Data!B108</f>
        <v>45613</v>
      </c>
      <c r="C108" s="48" t="str">
        <f>Raw_Data!C108</f>
        <v>US</v>
      </c>
      <c r="D108" s="48" t="str">
        <f>Raw_Data!D108</f>
        <v>Software</v>
      </c>
      <c r="E108" s="48" t="str">
        <f>Raw_Data!E108</f>
        <v>Enterprise</v>
      </c>
      <c r="F108" s="48" t="str">
        <f>Raw_Data!F108</f>
        <v>Partner</v>
      </c>
      <c r="G108" s="50">
        <f>Raw_Data!G108</f>
        <v>46</v>
      </c>
      <c r="H108" s="50">
        <f>Raw_Data!H108</f>
        <v>592.16</v>
      </c>
      <c r="I108" s="50">
        <f>Raw_Data!I108</f>
        <v>27239.360000000001</v>
      </c>
      <c r="J108" s="50">
        <f>Raw_Data!J108</f>
        <v>11966.86</v>
      </c>
      <c r="K108" s="48" t="str">
        <f t="shared" si="4"/>
        <v>2024-11</v>
      </c>
      <c r="L108" s="48" t="str">
        <f t="shared" si="5"/>
        <v>Q4-2024</v>
      </c>
      <c r="M108" s="50">
        <f t="shared" si="6"/>
        <v>15272.5</v>
      </c>
      <c r="N108" s="51">
        <f t="shared" si="7"/>
        <v>0.56067763706636276</v>
      </c>
    </row>
    <row r="109" spans="1:14" ht="15">
      <c r="A109" s="48">
        <f>Raw_Data!A109</f>
        <v>108</v>
      </c>
      <c r="B109" s="49">
        <f>Raw_Data!B109</f>
        <v>45619</v>
      </c>
      <c r="C109" s="48" t="str">
        <f>Raw_Data!C109</f>
        <v>US</v>
      </c>
      <c r="D109" s="48" t="str">
        <f>Raw_Data!D109</f>
        <v>Hardware</v>
      </c>
      <c r="E109" s="48" t="str">
        <f>Raw_Data!E109</f>
        <v>Public Sector</v>
      </c>
      <c r="F109" s="48" t="str">
        <f>Raw_Data!F109</f>
        <v>Direct</v>
      </c>
      <c r="G109" s="50">
        <f>Raw_Data!G109</f>
        <v>27</v>
      </c>
      <c r="H109" s="50">
        <f>Raw_Data!H109</f>
        <v>625.55999999999995</v>
      </c>
      <c r="I109" s="50">
        <f>Raw_Data!I109</f>
        <v>16890.12</v>
      </c>
      <c r="J109" s="50">
        <f>Raw_Data!J109</f>
        <v>11193.45</v>
      </c>
      <c r="K109" s="48" t="str">
        <f t="shared" si="4"/>
        <v>2024-11</v>
      </c>
      <c r="L109" s="48" t="str">
        <f t="shared" si="5"/>
        <v>Q4-2024</v>
      </c>
      <c r="M109" s="50">
        <f t="shared" si="6"/>
        <v>5696.6699999999983</v>
      </c>
      <c r="N109" s="51">
        <f t="shared" si="7"/>
        <v>0.33727824313859217</v>
      </c>
    </row>
    <row r="110" spans="1:14" ht="15">
      <c r="A110" s="48">
        <f>Raw_Data!A110</f>
        <v>109</v>
      </c>
      <c r="B110" s="49">
        <f>Raw_Data!B110</f>
        <v>45623</v>
      </c>
      <c r="C110" s="48" t="str">
        <f>Raw_Data!C110</f>
        <v>APAC</v>
      </c>
      <c r="D110" s="48" t="str">
        <f>Raw_Data!D110</f>
        <v>Services</v>
      </c>
      <c r="E110" s="48" t="str">
        <f>Raw_Data!E110</f>
        <v>Enterprise</v>
      </c>
      <c r="F110" s="48" t="str">
        <f>Raw_Data!F110</f>
        <v>Partner</v>
      </c>
      <c r="G110" s="50">
        <f>Raw_Data!G110</f>
        <v>203</v>
      </c>
      <c r="H110" s="50">
        <f>Raw_Data!H110</f>
        <v>361.17</v>
      </c>
      <c r="I110" s="50">
        <f>Raw_Data!I110</f>
        <v>73317.509999999995</v>
      </c>
      <c r="J110" s="50">
        <f>Raw_Data!J110</f>
        <v>38269.42</v>
      </c>
      <c r="K110" s="48" t="str">
        <f t="shared" si="4"/>
        <v>2024-11</v>
      </c>
      <c r="L110" s="48" t="str">
        <f t="shared" si="5"/>
        <v>Q4-2024</v>
      </c>
      <c r="M110" s="50">
        <f t="shared" si="6"/>
        <v>35048.089999999997</v>
      </c>
      <c r="N110" s="51">
        <f t="shared" si="7"/>
        <v>0.47803164619202149</v>
      </c>
    </row>
    <row r="111" spans="1:14" ht="15">
      <c r="A111" s="48">
        <f>Raw_Data!A111</f>
        <v>110</v>
      </c>
      <c r="B111" s="49">
        <f>Raw_Data!B111</f>
        <v>45625</v>
      </c>
      <c r="C111" s="48" t="str">
        <f>Raw_Data!C111</f>
        <v>EU</v>
      </c>
      <c r="D111" s="48" t="str">
        <f>Raw_Data!D111</f>
        <v>Training</v>
      </c>
      <c r="E111" s="48" t="str">
        <f>Raw_Data!E111</f>
        <v>SMB</v>
      </c>
      <c r="F111" s="48" t="str">
        <f>Raw_Data!F111</f>
        <v>Partner</v>
      </c>
      <c r="G111" s="50">
        <f>Raw_Data!G111</f>
        <v>23</v>
      </c>
      <c r="H111" s="50">
        <f>Raw_Data!H111</f>
        <v>172.06</v>
      </c>
      <c r="I111" s="50">
        <f>Raw_Data!I111</f>
        <v>3957.38</v>
      </c>
      <c r="J111" s="50">
        <f>Raw_Data!J111</f>
        <v>1987.46</v>
      </c>
      <c r="K111" s="48" t="str">
        <f t="shared" si="4"/>
        <v>2024-11</v>
      </c>
      <c r="L111" s="48" t="str">
        <f t="shared" si="5"/>
        <v>Q4-2024</v>
      </c>
      <c r="M111" s="50">
        <f t="shared" si="6"/>
        <v>1969.92</v>
      </c>
      <c r="N111" s="51">
        <f t="shared" si="7"/>
        <v>0.49778388731938811</v>
      </c>
    </row>
    <row r="112" spans="1:14" ht="15">
      <c r="A112" s="48">
        <f>Raw_Data!A112</f>
        <v>111</v>
      </c>
      <c r="B112" s="49">
        <f>Raw_Data!B112</f>
        <v>45625</v>
      </c>
      <c r="C112" s="48" t="str">
        <f>Raw_Data!C112</f>
        <v>US</v>
      </c>
      <c r="D112" s="48" t="str">
        <f>Raw_Data!D112</f>
        <v>Services</v>
      </c>
      <c r="E112" s="48" t="str">
        <f>Raw_Data!E112</f>
        <v>SMB</v>
      </c>
      <c r="F112" s="48" t="str">
        <f>Raw_Data!F112</f>
        <v>Online</v>
      </c>
      <c r="G112" s="50">
        <f>Raw_Data!G112</f>
        <v>101</v>
      </c>
      <c r="H112" s="50">
        <f>Raw_Data!H112</f>
        <v>304.08999999999997</v>
      </c>
      <c r="I112" s="50">
        <f>Raw_Data!I112</f>
        <v>30713.09</v>
      </c>
      <c r="J112" s="50">
        <f>Raw_Data!J112</f>
        <v>16639.53</v>
      </c>
      <c r="K112" s="48" t="str">
        <f t="shared" si="4"/>
        <v>2024-11</v>
      </c>
      <c r="L112" s="48" t="str">
        <f t="shared" si="5"/>
        <v>Q4-2024</v>
      </c>
      <c r="M112" s="50">
        <f t="shared" si="6"/>
        <v>14073.560000000001</v>
      </c>
      <c r="N112" s="51">
        <f t="shared" si="7"/>
        <v>0.45822676910724391</v>
      </c>
    </row>
    <row r="113" spans="1:14" ht="15">
      <c r="A113" s="48">
        <f>Raw_Data!A113</f>
        <v>112</v>
      </c>
      <c r="B113" s="49">
        <f>Raw_Data!B113</f>
        <v>45632</v>
      </c>
      <c r="C113" s="48" t="str">
        <f>Raw_Data!C113</f>
        <v>UK</v>
      </c>
      <c r="D113" s="48" t="str">
        <f>Raw_Data!D113</f>
        <v>Hardware</v>
      </c>
      <c r="E113" s="48" t="str">
        <f>Raw_Data!E113</f>
        <v>Enterprise</v>
      </c>
      <c r="F113" s="48" t="str">
        <f>Raw_Data!F113</f>
        <v>Partner</v>
      </c>
      <c r="G113" s="50">
        <f>Raw_Data!G113</f>
        <v>91</v>
      </c>
      <c r="H113" s="50">
        <f>Raw_Data!H113</f>
        <v>614.54</v>
      </c>
      <c r="I113" s="50">
        <f>Raw_Data!I113</f>
        <v>55923.14</v>
      </c>
      <c r="J113" s="50">
        <f>Raw_Data!J113</f>
        <v>39096.839999999997</v>
      </c>
      <c r="K113" s="48" t="str">
        <f t="shared" si="4"/>
        <v>2024-12</v>
      </c>
      <c r="L113" s="48" t="str">
        <f t="shared" si="5"/>
        <v>Q4-2024</v>
      </c>
      <c r="M113" s="50">
        <f t="shared" si="6"/>
        <v>16826.300000000003</v>
      </c>
      <c r="N113" s="51">
        <f t="shared" si="7"/>
        <v>0.30088260423145058</v>
      </c>
    </row>
    <row r="114" spans="1:14" ht="15">
      <c r="A114" s="48">
        <f>Raw_Data!A114</f>
        <v>113</v>
      </c>
      <c r="B114" s="49">
        <f>Raw_Data!B114</f>
        <v>45631</v>
      </c>
      <c r="C114" s="48" t="str">
        <f>Raw_Data!C114</f>
        <v>UK</v>
      </c>
      <c r="D114" s="48" t="str">
        <f>Raw_Data!D114</f>
        <v>Services</v>
      </c>
      <c r="E114" s="48" t="str">
        <f>Raw_Data!E114</f>
        <v>SMB</v>
      </c>
      <c r="F114" s="48" t="str">
        <f>Raw_Data!F114</f>
        <v>Partner</v>
      </c>
      <c r="G114" s="50">
        <f>Raw_Data!G114</f>
        <v>198</v>
      </c>
      <c r="H114" s="50">
        <f>Raw_Data!H114</f>
        <v>289.24</v>
      </c>
      <c r="I114" s="50">
        <f>Raw_Data!I114</f>
        <v>57269.52</v>
      </c>
      <c r="J114" s="50">
        <f>Raw_Data!J114</f>
        <v>33331.1</v>
      </c>
      <c r="K114" s="48" t="str">
        <f t="shared" si="4"/>
        <v>2024-12</v>
      </c>
      <c r="L114" s="48" t="str">
        <f t="shared" si="5"/>
        <v>Q4-2024</v>
      </c>
      <c r="M114" s="50">
        <f t="shared" si="6"/>
        <v>23938.42</v>
      </c>
      <c r="N114" s="51">
        <f t="shared" si="7"/>
        <v>0.41799582046435868</v>
      </c>
    </row>
    <row r="115" spans="1:14" ht="15">
      <c r="A115" s="48">
        <f>Raw_Data!A115</f>
        <v>114</v>
      </c>
      <c r="B115" s="49">
        <f>Raw_Data!B115</f>
        <v>45637</v>
      </c>
      <c r="C115" s="48" t="str">
        <f>Raw_Data!C115</f>
        <v>US</v>
      </c>
      <c r="D115" s="48" t="str">
        <f>Raw_Data!D115</f>
        <v>Training</v>
      </c>
      <c r="E115" s="48" t="str">
        <f>Raw_Data!E115</f>
        <v>Public Sector</v>
      </c>
      <c r="F115" s="48" t="str">
        <f>Raw_Data!F115</f>
        <v>Direct</v>
      </c>
      <c r="G115" s="50">
        <f>Raw_Data!G115</f>
        <v>142</v>
      </c>
      <c r="H115" s="50">
        <f>Raw_Data!H115</f>
        <v>228.48</v>
      </c>
      <c r="I115" s="50">
        <f>Raw_Data!I115</f>
        <v>32444.16</v>
      </c>
      <c r="J115" s="50">
        <f>Raw_Data!J115</f>
        <v>16292.38</v>
      </c>
      <c r="K115" s="48" t="str">
        <f t="shared" si="4"/>
        <v>2024-12</v>
      </c>
      <c r="L115" s="48" t="str">
        <f t="shared" si="5"/>
        <v>Q4-2024</v>
      </c>
      <c r="M115" s="50">
        <f t="shared" si="6"/>
        <v>16151.78</v>
      </c>
      <c r="N115" s="51">
        <f t="shared" si="7"/>
        <v>0.49783320018148108</v>
      </c>
    </row>
    <row r="116" spans="1:14" ht="15">
      <c r="A116" s="48">
        <f>Raw_Data!A116</f>
        <v>115</v>
      </c>
      <c r="B116" s="49">
        <f>Raw_Data!B116</f>
        <v>45639</v>
      </c>
      <c r="C116" s="48" t="str">
        <f>Raw_Data!C116</f>
        <v>EU</v>
      </c>
      <c r="D116" s="48" t="str">
        <f>Raw_Data!D116</f>
        <v>Services</v>
      </c>
      <c r="E116" s="48" t="str">
        <f>Raw_Data!E116</f>
        <v>Enterprise</v>
      </c>
      <c r="F116" s="48" t="str">
        <f>Raw_Data!F116</f>
        <v>Partner</v>
      </c>
      <c r="G116" s="50">
        <f>Raw_Data!G116</f>
        <v>132</v>
      </c>
      <c r="H116" s="50">
        <f>Raw_Data!H116</f>
        <v>410.18</v>
      </c>
      <c r="I116" s="50">
        <f>Raw_Data!I116</f>
        <v>54143.76</v>
      </c>
      <c r="J116" s="50">
        <f>Raw_Data!J116</f>
        <v>30907.759999999998</v>
      </c>
      <c r="K116" s="48" t="str">
        <f t="shared" si="4"/>
        <v>2024-12</v>
      </c>
      <c r="L116" s="48" t="str">
        <f t="shared" si="5"/>
        <v>Q4-2024</v>
      </c>
      <c r="M116" s="50">
        <f t="shared" si="6"/>
        <v>23236.000000000004</v>
      </c>
      <c r="N116" s="51">
        <f t="shared" si="7"/>
        <v>0.42915379353040872</v>
      </c>
    </row>
    <row r="117" spans="1:14" ht="15">
      <c r="A117" s="48">
        <f>Raw_Data!A117</f>
        <v>116</v>
      </c>
      <c r="B117" s="49">
        <f>Raw_Data!B117</f>
        <v>45640</v>
      </c>
      <c r="C117" s="48" t="str">
        <f>Raw_Data!C117</f>
        <v>EU</v>
      </c>
      <c r="D117" s="48" t="str">
        <f>Raw_Data!D117</f>
        <v>Training</v>
      </c>
      <c r="E117" s="48" t="str">
        <f>Raw_Data!E117</f>
        <v>Mid-Market</v>
      </c>
      <c r="F117" s="48" t="str">
        <f>Raw_Data!F117</f>
        <v>Direct</v>
      </c>
      <c r="G117" s="50">
        <f>Raw_Data!G117</f>
        <v>119</v>
      </c>
      <c r="H117" s="50">
        <f>Raw_Data!H117</f>
        <v>189.53</v>
      </c>
      <c r="I117" s="50">
        <f>Raw_Data!I117</f>
        <v>22554.07</v>
      </c>
      <c r="J117" s="50">
        <f>Raw_Data!J117</f>
        <v>10198.98</v>
      </c>
      <c r="K117" s="48" t="str">
        <f t="shared" si="4"/>
        <v>2024-12</v>
      </c>
      <c r="L117" s="48" t="str">
        <f t="shared" si="5"/>
        <v>Q4-2024</v>
      </c>
      <c r="M117" s="50">
        <f t="shared" si="6"/>
        <v>12355.09</v>
      </c>
      <c r="N117" s="51">
        <f t="shared" si="7"/>
        <v>0.54779868999253789</v>
      </c>
    </row>
    <row r="118" spans="1:14" ht="15">
      <c r="A118" s="48">
        <f>Raw_Data!A118</f>
        <v>117</v>
      </c>
      <c r="B118" s="49">
        <f>Raw_Data!B118</f>
        <v>45647</v>
      </c>
      <c r="C118" s="48" t="str">
        <f>Raw_Data!C118</f>
        <v>US</v>
      </c>
      <c r="D118" s="48" t="str">
        <f>Raw_Data!D118</f>
        <v>Services</v>
      </c>
      <c r="E118" s="48" t="str">
        <f>Raw_Data!E118</f>
        <v>Public Sector</v>
      </c>
      <c r="F118" s="48" t="str">
        <f>Raw_Data!F118</f>
        <v>Direct</v>
      </c>
      <c r="G118" s="50">
        <f>Raw_Data!G118</f>
        <v>33</v>
      </c>
      <c r="H118" s="50">
        <f>Raw_Data!H118</f>
        <v>382.94</v>
      </c>
      <c r="I118" s="50">
        <f>Raw_Data!I118</f>
        <v>12637.02</v>
      </c>
      <c r="J118" s="50">
        <f>Raw_Data!J118</f>
        <v>6640.32</v>
      </c>
      <c r="K118" s="48" t="str">
        <f t="shared" si="4"/>
        <v>2024-12</v>
      </c>
      <c r="L118" s="48" t="str">
        <f t="shared" si="5"/>
        <v>Q4-2024</v>
      </c>
      <c r="M118" s="50">
        <f t="shared" si="6"/>
        <v>5996.7000000000007</v>
      </c>
      <c r="N118" s="51">
        <f t="shared" si="7"/>
        <v>0.47453434433117936</v>
      </c>
    </row>
    <row r="119" spans="1:14" ht="15">
      <c r="A119" s="48">
        <f>Raw_Data!A119</f>
        <v>118</v>
      </c>
      <c r="B119" s="49">
        <f>Raw_Data!B119</f>
        <v>45646</v>
      </c>
      <c r="C119" s="48" t="str">
        <f>Raw_Data!C119</f>
        <v>APAC</v>
      </c>
      <c r="D119" s="48" t="str">
        <f>Raw_Data!D119</f>
        <v>Training</v>
      </c>
      <c r="E119" s="48" t="str">
        <f>Raw_Data!E119</f>
        <v>Public Sector</v>
      </c>
      <c r="F119" s="48" t="str">
        <f>Raw_Data!F119</f>
        <v>Direct</v>
      </c>
      <c r="G119" s="50">
        <f>Raw_Data!G119</f>
        <v>74</v>
      </c>
      <c r="H119" s="50">
        <f>Raw_Data!H119</f>
        <v>177.89</v>
      </c>
      <c r="I119" s="50">
        <f>Raw_Data!I119</f>
        <v>13163.86</v>
      </c>
      <c r="J119" s="50">
        <f>Raw_Data!J119</f>
        <v>6318.13</v>
      </c>
      <c r="K119" s="48" t="str">
        <f t="shared" si="4"/>
        <v>2024-12</v>
      </c>
      <c r="L119" s="48" t="str">
        <f t="shared" si="5"/>
        <v>Q4-2024</v>
      </c>
      <c r="M119" s="50">
        <f t="shared" si="6"/>
        <v>6845.7300000000005</v>
      </c>
      <c r="N119" s="51">
        <f t="shared" si="7"/>
        <v>0.52003971479490063</v>
      </c>
    </row>
    <row r="120" spans="1:14" ht="15">
      <c r="A120" s="48">
        <f>Raw_Data!A120</f>
        <v>119</v>
      </c>
      <c r="B120" s="49">
        <f>Raw_Data!B120</f>
        <v>45650</v>
      </c>
      <c r="C120" s="48" t="str">
        <f>Raw_Data!C120</f>
        <v>UK</v>
      </c>
      <c r="D120" s="48" t="str">
        <f>Raw_Data!D120</f>
        <v>Hardware</v>
      </c>
      <c r="E120" s="48" t="str">
        <f>Raw_Data!E120</f>
        <v>Enterprise</v>
      </c>
      <c r="F120" s="48" t="str">
        <f>Raw_Data!F120</f>
        <v>Partner</v>
      </c>
      <c r="G120" s="50">
        <f>Raw_Data!G120</f>
        <v>160</v>
      </c>
      <c r="H120" s="50">
        <f>Raw_Data!H120</f>
        <v>624.04</v>
      </c>
      <c r="I120" s="50">
        <f>Raw_Data!I120</f>
        <v>99846.399999999994</v>
      </c>
      <c r="J120" s="50">
        <f>Raw_Data!J120</f>
        <v>66548.990000000005</v>
      </c>
      <c r="K120" s="48" t="str">
        <f t="shared" si="4"/>
        <v>2024-12</v>
      </c>
      <c r="L120" s="48" t="str">
        <f t="shared" si="5"/>
        <v>Q4-2024</v>
      </c>
      <c r="M120" s="50">
        <f t="shared" si="6"/>
        <v>33297.409999999989</v>
      </c>
      <c r="N120" s="51">
        <f t="shared" si="7"/>
        <v>0.33348633501057617</v>
      </c>
    </row>
    <row r="121" spans="1:14" ht="15">
      <c r="A121" s="48">
        <f>Raw_Data!A121</f>
        <v>120</v>
      </c>
      <c r="B121" s="49">
        <f>Raw_Data!B121</f>
        <v>45654</v>
      </c>
      <c r="C121" s="48" t="str">
        <f>Raw_Data!C121</f>
        <v>EU</v>
      </c>
      <c r="D121" s="48" t="str">
        <f>Raw_Data!D121</f>
        <v>Training</v>
      </c>
      <c r="E121" s="48" t="str">
        <f>Raw_Data!E121</f>
        <v>Mid-Market</v>
      </c>
      <c r="F121" s="48" t="str">
        <f>Raw_Data!F121</f>
        <v>Direct</v>
      </c>
      <c r="G121" s="50">
        <f>Raw_Data!G121</f>
        <v>77</v>
      </c>
      <c r="H121" s="50">
        <f>Raw_Data!H121</f>
        <v>195.68</v>
      </c>
      <c r="I121" s="50">
        <f>Raw_Data!I121</f>
        <v>15067.36</v>
      </c>
      <c r="J121" s="50">
        <f>Raw_Data!J121</f>
        <v>7055.86</v>
      </c>
      <c r="K121" s="48" t="str">
        <f t="shared" si="4"/>
        <v>2024-12</v>
      </c>
      <c r="L121" s="48" t="str">
        <f t="shared" si="5"/>
        <v>Q4-2024</v>
      </c>
      <c r="M121" s="50">
        <f t="shared" si="6"/>
        <v>8011.5000000000009</v>
      </c>
      <c r="N121" s="51">
        <f t="shared" si="7"/>
        <v>0.53171225748903594</v>
      </c>
    </row>
    <row r="122" spans="1:14" ht="15">
      <c r="A122" s="48">
        <f>Raw_Data!A122</f>
        <v>121</v>
      </c>
      <c r="B122" s="49">
        <f>Raw_Data!B122</f>
        <v>45659</v>
      </c>
      <c r="C122" s="48" t="str">
        <f>Raw_Data!C122</f>
        <v>EU</v>
      </c>
      <c r="D122" s="48" t="str">
        <f>Raw_Data!D122</f>
        <v>Hardware</v>
      </c>
      <c r="E122" s="48" t="str">
        <f>Raw_Data!E122</f>
        <v>SMB</v>
      </c>
      <c r="F122" s="48" t="str">
        <f>Raw_Data!F122</f>
        <v>Partner</v>
      </c>
      <c r="G122" s="50">
        <f>Raw_Data!G122</f>
        <v>79</v>
      </c>
      <c r="H122" s="50">
        <f>Raw_Data!H122</f>
        <v>521.82000000000005</v>
      </c>
      <c r="I122" s="50">
        <f>Raw_Data!I122</f>
        <v>41223.78</v>
      </c>
      <c r="J122" s="50">
        <f>Raw_Data!J122</f>
        <v>28154.86</v>
      </c>
      <c r="K122" s="48" t="str">
        <f t="shared" si="4"/>
        <v>2025-01</v>
      </c>
      <c r="L122" s="48" t="str">
        <f t="shared" si="5"/>
        <v>Q1-2025</v>
      </c>
      <c r="M122" s="50">
        <f t="shared" si="6"/>
        <v>13068.919999999998</v>
      </c>
      <c r="N122" s="51">
        <f t="shared" si="7"/>
        <v>0.3170238148951891</v>
      </c>
    </row>
    <row r="123" spans="1:14" ht="15">
      <c r="A123" s="48">
        <f>Raw_Data!A123</f>
        <v>122</v>
      </c>
      <c r="B123" s="49">
        <f>Raw_Data!B123</f>
        <v>45659</v>
      </c>
      <c r="C123" s="48" t="str">
        <f>Raw_Data!C123</f>
        <v>UK</v>
      </c>
      <c r="D123" s="48" t="str">
        <f>Raw_Data!D123</f>
        <v>Training</v>
      </c>
      <c r="E123" s="48" t="str">
        <f>Raw_Data!E123</f>
        <v>SMB</v>
      </c>
      <c r="F123" s="48" t="str">
        <f>Raw_Data!F123</f>
        <v>Direct</v>
      </c>
      <c r="G123" s="50">
        <f>Raw_Data!G123</f>
        <v>16</v>
      </c>
      <c r="H123" s="50">
        <f>Raw_Data!H123</f>
        <v>172.98</v>
      </c>
      <c r="I123" s="50">
        <f>Raw_Data!I123</f>
        <v>2767.68</v>
      </c>
      <c r="J123" s="50">
        <f>Raw_Data!J123</f>
        <v>1392.81</v>
      </c>
      <c r="K123" s="48" t="str">
        <f t="shared" si="4"/>
        <v>2025-01</v>
      </c>
      <c r="L123" s="48" t="str">
        <f t="shared" si="5"/>
        <v>Q1-2025</v>
      </c>
      <c r="M123" s="50">
        <f t="shared" si="6"/>
        <v>1374.87</v>
      </c>
      <c r="N123" s="51">
        <f t="shared" si="7"/>
        <v>0.49675901838362818</v>
      </c>
    </row>
    <row r="124" spans="1:14" ht="15">
      <c r="A124" s="48">
        <f>Raw_Data!A124</f>
        <v>123</v>
      </c>
      <c r="B124" s="49">
        <f>Raw_Data!B124</f>
        <v>45664</v>
      </c>
      <c r="C124" s="48" t="str">
        <f>Raw_Data!C124</f>
        <v>US</v>
      </c>
      <c r="D124" s="48" t="str">
        <f>Raw_Data!D124</f>
        <v>Software</v>
      </c>
      <c r="E124" s="48" t="str">
        <f>Raw_Data!E124</f>
        <v>Enterprise</v>
      </c>
      <c r="F124" s="48" t="str">
        <f>Raw_Data!F124</f>
        <v>Direct</v>
      </c>
      <c r="G124" s="50">
        <f>Raw_Data!G124</f>
        <v>45</v>
      </c>
      <c r="H124" s="50">
        <f>Raw_Data!H124</f>
        <v>622.94000000000005</v>
      </c>
      <c r="I124" s="50">
        <f>Raw_Data!I124</f>
        <v>28032.3</v>
      </c>
      <c r="J124" s="50">
        <f>Raw_Data!J124</f>
        <v>12026.76</v>
      </c>
      <c r="K124" s="48" t="str">
        <f t="shared" si="4"/>
        <v>2025-01</v>
      </c>
      <c r="L124" s="48" t="str">
        <f t="shared" si="5"/>
        <v>Q1-2025</v>
      </c>
      <c r="M124" s="50">
        <f t="shared" si="6"/>
        <v>16005.539999999999</v>
      </c>
      <c r="N124" s="51">
        <f t="shared" si="7"/>
        <v>0.57096777645787178</v>
      </c>
    </row>
    <row r="125" spans="1:14" ht="15">
      <c r="A125" s="48">
        <f>Raw_Data!A125</f>
        <v>124</v>
      </c>
      <c r="B125" s="49">
        <f>Raw_Data!B125</f>
        <v>45668</v>
      </c>
      <c r="C125" s="48" t="str">
        <f>Raw_Data!C125</f>
        <v>EU</v>
      </c>
      <c r="D125" s="48" t="str">
        <f>Raw_Data!D125</f>
        <v>Software</v>
      </c>
      <c r="E125" s="48" t="str">
        <f>Raw_Data!E125</f>
        <v>Enterprise</v>
      </c>
      <c r="F125" s="48" t="str">
        <f>Raw_Data!F125</f>
        <v>Online</v>
      </c>
      <c r="G125" s="50">
        <f>Raw_Data!G125</f>
        <v>60</v>
      </c>
      <c r="H125" s="50">
        <f>Raw_Data!H125</f>
        <v>583.13</v>
      </c>
      <c r="I125" s="50">
        <f>Raw_Data!I125</f>
        <v>34987.800000000003</v>
      </c>
      <c r="J125" s="50">
        <f>Raw_Data!J125</f>
        <v>14236.42</v>
      </c>
      <c r="K125" s="48" t="str">
        <f t="shared" si="4"/>
        <v>2025-01</v>
      </c>
      <c r="L125" s="48" t="str">
        <f t="shared" si="5"/>
        <v>Q1-2025</v>
      </c>
      <c r="M125" s="50">
        <f t="shared" si="6"/>
        <v>20751.380000000005</v>
      </c>
      <c r="N125" s="51">
        <f t="shared" si="7"/>
        <v>0.59310331029673213</v>
      </c>
    </row>
    <row r="126" spans="1:14" ht="15">
      <c r="A126" s="48">
        <f>Raw_Data!A126</f>
        <v>125</v>
      </c>
      <c r="B126" s="49">
        <f>Raw_Data!B126</f>
        <v>45667</v>
      </c>
      <c r="C126" s="48" t="str">
        <f>Raw_Data!C126</f>
        <v>UK</v>
      </c>
      <c r="D126" s="48" t="str">
        <f>Raw_Data!D126</f>
        <v>Hardware</v>
      </c>
      <c r="E126" s="48" t="str">
        <f>Raw_Data!E126</f>
        <v>Mid-Market</v>
      </c>
      <c r="F126" s="48" t="str">
        <f>Raw_Data!F126</f>
        <v>Direct</v>
      </c>
      <c r="G126" s="50">
        <f>Raw_Data!G126</f>
        <v>109</v>
      </c>
      <c r="H126" s="50">
        <f>Raw_Data!H126</f>
        <v>524.64</v>
      </c>
      <c r="I126" s="50">
        <f>Raw_Data!I126</f>
        <v>57185.760000000002</v>
      </c>
      <c r="J126" s="50">
        <f>Raw_Data!J126</f>
        <v>37334.910000000003</v>
      </c>
      <c r="K126" s="48" t="str">
        <f t="shared" si="4"/>
        <v>2025-01</v>
      </c>
      <c r="L126" s="48" t="str">
        <f t="shared" si="5"/>
        <v>Q1-2025</v>
      </c>
      <c r="M126" s="50">
        <f t="shared" si="6"/>
        <v>19850.849999999999</v>
      </c>
      <c r="N126" s="51">
        <f t="shared" si="7"/>
        <v>0.34712925035883058</v>
      </c>
    </row>
    <row r="127" spans="1:14" ht="15">
      <c r="A127" s="48">
        <f>Raw_Data!A127</f>
        <v>126</v>
      </c>
      <c r="B127" s="49">
        <f>Raw_Data!B127</f>
        <v>45672</v>
      </c>
      <c r="C127" s="48" t="str">
        <f>Raw_Data!C127</f>
        <v>UK</v>
      </c>
      <c r="D127" s="48" t="str">
        <f>Raw_Data!D127</f>
        <v>Services</v>
      </c>
      <c r="E127" s="48" t="str">
        <f>Raw_Data!E127</f>
        <v>SMB</v>
      </c>
      <c r="F127" s="48" t="str">
        <f>Raw_Data!F127</f>
        <v>Partner</v>
      </c>
      <c r="G127" s="50">
        <f>Raw_Data!G127</f>
        <v>119</v>
      </c>
      <c r="H127" s="50">
        <f>Raw_Data!H127</f>
        <v>290.13</v>
      </c>
      <c r="I127" s="50">
        <f>Raw_Data!I127</f>
        <v>34525.47</v>
      </c>
      <c r="J127" s="50">
        <f>Raw_Data!J127</f>
        <v>18368.740000000002</v>
      </c>
      <c r="K127" s="48" t="str">
        <f t="shared" si="4"/>
        <v>2025-01</v>
      </c>
      <c r="L127" s="48" t="str">
        <f t="shared" si="5"/>
        <v>Q1-2025</v>
      </c>
      <c r="M127" s="50">
        <f t="shared" si="6"/>
        <v>16156.73</v>
      </c>
      <c r="N127" s="51">
        <f t="shared" si="7"/>
        <v>0.46796553385080636</v>
      </c>
    </row>
    <row r="128" spans="1:14" ht="15">
      <c r="A128" s="48">
        <f>Raw_Data!A128</f>
        <v>127</v>
      </c>
      <c r="B128" s="49">
        <f>Raw_Data!B128</f>
        <v>45675</v>
      </c>
      <c r="C128" s="48" t="str">
        <f>Raw_Data!C128</f>
        <v>UK</v>
      </c>
      <c r="D128" s="48" t="str">
        <f>Raw_Data!D128</f>
        <v>Services</v>
      </c>
      <c r="E128" s="48" t="str">
        <f>Raw_Data!E128</f>
        <v>SMB</v>
      </c>
      <c r="F128" s="48" t="str">
        <f>Raw_Data!F128</f>
        <v>Partner</v>
      </c>
      <c r="G128" s="50">
        <f>Raw_Data!G128</f>
        <v>155</v>
      </c>
      <c r="H128" s="50">
        <f>Raw_Data!H128</f>
        <v>283.12</v>
      </c>
      <c r="I128" s="50">
        <f>Raw_Data!I128</f>
        <v>43883.6</v>
      </c>
      <c r="J128" s="50">
        <f>Raw_Data!J128</f>
        <v>23983.75</v>
      </c>
      <c r="K128" s="48" t="str">
        <f t="shared" si="4"/>
        <v>2025-01</v>
      </c>
      <c r="L128" s="48" t="str">
        <f t="shared" si="5"/>
        <v>Q1-2025</v>
      </c>
      <c r="M128" s="50">
        <f t="shared" si="6"/>
        <v>19899.849999999999</v>
      </c>
      <c r="N128" s="51">
        <f t="shared" si="7"/>
        <v>0.45346894967596091</v>
      </c>
    </row>
    <row r="129" spans="1:14" ht="15">
      <c r="A129" s="48">
        <f>Raw_Data!A129</f>
        <v>128</v>
      </c>
      <c r="B129" s="49">
        <f>Raw_Data!B129</f>
        <v>45679</v>
      </c>
      <c r="C129" s="48" t="str">
        <f>Raw_Data!C129</f>
        <v>EU</v>
      </c>
      <c r="D129" s="48" t="str">
        <f>Raw_Data!D129</f>
        <v>Software</v>
      </c>
      <c r="E129" s="48" t="str">
        <f>Raw_Data!E129</f>
        <v>Mid-Market</v>
      </c>
      <c r="F129" s="48" t="str">
        <f>Raw_Data!F129</f>
        <v>Partner</v>
      </c>
      <c r="G129" s="50">
        <f>Raw_Data!G129</f>
        <v>193</v>
      </c>
      <c r="H129" s="50">
        <f>Raw_Data!H129</f>
        <v>463.51</v>
      </c>
      <c r="I129" s="50">
        <f>Raw_Data!I129</f>
        <v>89457.43</v>
      </c>
      <c r="J129" s="50">
        <f>Raw_Data!J129</f>
        <v>40634.74</v>
      </c>
      <c r="K129" s="48" t="str">
        <f t="shared" si="4"/>
        <v>2025-01</v>
      </c>
      <c r="L129" s="48" t="str">
        <f t="shared" si="5"/>
        <v>Q1-2025</v>
      </c>
      <c r="M129" s="50">
        <f t="shared" si="6"/>
        <v>48822.689999999995</v>
      </c>
      <c r="N129" s="51">
        <f t="shared" si="7"/>
        <v>0.54576450497180617</v>
      </c>
    </row>
    <row r="130" spans="1:14" ht="15">
      <c r="A130" s="48">
        <f>Raw_Data!A130</f>
        <v>129</v>
      </c>
      <c r="B130" s="49">
        <f>Raw_Data!B130</f>
        <v>45681</v>
      </c>
      <c r="C130" s="48" t="str">
        <f>Raw_Data!C130</f>
        <v>APAC</v>
      </c>
      <c r="D130" s="48" t="str">
        <f>Raw_Data!D130</f>
        <v>Software</v>
      </c>
      <c r="E130" s="48" t="str">
        <f>Raw_Data!E130</f>
        <v>Enterprise</v>
      </c>
      <c r="F130" s="48" t="str">
        <f>Raw_Data!F130</f>
        <v>Online</v>
      </c>
      <c r="G130" s="50">
        <f>Raw_Data!G130</f>
        <v>160</v>
      </c>
      <c r="H130" s="50">
        <f>Raw_Data!H130</f>
        <v>522.95000000000005</v>
      </c>
      <c r="I130" s="50">
        <f>Raw_Data!I130</f>
        <v>83672</v>
      </c>
      <c r="J130" s="50">
        <f>Raw_Data!J130</f>
        <v>34884.129999999997</v>
      </c>
      <c r="K130" s="48" t="str">
        <f t="shared" ref="K130:K193" si="8">TEXT(B130,"yyyy-mm")</f>
        <v>2025-01</v>
      </c>
      <c r="L130" s="48" t="str">
        <f t="shared" ref="L130:L193" si="9">"Q"&amp;ROUNDUP(MONTH(B130)/3,0)&amp;"-"&amp;YEAR(B130)</f>
        <v>Q1-2025</v>
      </c>
      <c r="M130" s="50">
        <f t="shared" ref="M130:M193" si="10">I130-J130</f>
        <v>48787.87</v>
      </c>
      <c r="N130" s="51">
        <f t="shared" ref="N130:N193" si="11">IFERROR(M130/I130,0)</f>
        <v>0.58308478344009951</v>
      </c>
    </row>
    <row r="131" spans="1:14" ht="15">
      <c r="A131" s="48">
        <f>Raw_Data!A131</f>
        <v>130</v>
      </c>
      <c r="B131" s="49">
        <f>Raw_Data!B131</f>
        <v>45682</v>
      </c>
      <c r="C131" s="48" t="str">
        <f>Raw_Data!C131</f>
        <v>US</v>
      </c>
      <c r="D131" s="48" t="str">
        <f>Raw_Data!D131</f>
        <v>Services</v>
      </c>
      <c r="E131" s="48" t="str">
        <f>Raw_Data!E131</f>
        <v>Public Sector</v>
      </c>
      <c r="F131" s="48" t="str">
        <f>Raw_Data!F131</f>
        <v>Online</v>
      </c>
      <c r="G131" s="50">
        <f>Raw_Data!G131</f>
        <v>118</v>
      </c>
      <c r="H131" s="50">
        <f>Raw_Data!H131</f>
        <v>396.39</v>
      </c>
      <c r="I131" s="50">
        <f>Raw_Data!I131</f>
        <v>46774.02</v>
      </c>
      <c r="J131" s="50">
        <f>Raw_Data!J131</f>
        <v>24340.36</v>
      </c>
      <c r="K131" s="48" t="str">
        <f t="shared" si="8"/>
        <v>2025-01</v>
      </c>
      <c r="L131" s="48" t="str">
        <f t="shared" si="9"/>
        <v>Q1-2025</v>
      </c>
      <c r="M131" s="50">
        <f t="shared" si="10"/>
        <v>22433.659999999996</v>
      </c>
      <c r="N131" s="51">
        <f t="shared" si="11"/>
        <v>0.47961795885835767</v>
      </c>
    </row>
    <row r="132" spans="1:14" ht="15">
      <c r="A132" s="48">
        <f>Raw_Data!A132</f>
        <v>131</v>
      </c>
      <c r="B132" s="49">
        <f>Raw_Data!B132</f>
        <v>45686</v>
      </c>
      <c r="C132" s="48" t="str">
        <f>Raw_Data!C132</f>
        <v>APAC</v>
      </c>
      <c r="D132" s="48" t="str">
        <f>Raw_Data!D132</f>
        <v>Software</v>
      </c>
      <c r="E132" s="48" t="str">
        <f>Raw_Data!E132</f>
        <v>SMB</v>
      </c>
      <c r="F132" s="48" t="str">
        <f>Raw_Data!F132</f>
        <v>Partner</v>
      </c>
      <c r="G132" s="50">
        <f>Raw_Data!G132</f>
        <v>162</v>
      </c>
      <c r="H132" s="50">
        <f>Raw_Data!H132</f>
        <v>375.1</v>
      </c>
      <c r="I132" s="50">
        <f>Raw_Data!I132</f>
        <v>60766.2</v>
      </c>
      <c r="J132" s="50">
        <f>Raw_Data!J132</f>
        <v>25519.31</v>
      </c>
      <c r="K132" s="48" t="str">
        <f t="shared" si="8"/>
        <v>2025-01</v>
      </c>
      <c r="L132" s="48" t="str">
        <f t="shared" si="9"/>
        <v>Q1-2025</v>
      </c>
      <c r="M132" s="50">
        <f t="shared" si="10"/>
        <v>35246.89</v>
      </c>
      <c r="N132" s="51">
        <f t="shared" si="11"/>
        <v>0.5800410425532615</v>
      </c>
    </row>
    <row r="133" spans="1:14" ht="15">
      <c r="A133" s="48">
        <f>Raw_Data!A133</f>
        <v>132</v>
      </c>
      <c r="B133" s="49">
        <f>Raw_Data!B133</f>
        <v>45689</v>
      </c>
      <c r="C133" s="48" t="str">
        <f>Raw_Data!C133</f>
        <v>EU</v>
      </c>
      <c r="D133" s="48" t="str">
        <f>Raw_Data!D133</f>
        <v>Software</v>
      </c>
      <c r="E133" s="48" t="str">
        <f>Raw_Data!E133</f>
        <v>SMB</v>
      </c>
      <c r="F133" s="48" t="str">
        <f>Raw_Data!F133</f>
        <v>Online</v>
      </c>
      <c r="G133" s="50">
        <f>Raw_Data!G133</f>
        <v>51</v>
      </c>
      <c r="H133" s="50">
        <f>Raw_Data!H133</f>
        <v>431.89</v>
      </c>
      <c r="I133" s="50">
        <f>Raw_Data!I133</f>
        <v>22026.39</v>
      </c>
      <c r="J133" s="50">
        <f>Raw_Data!J133</f>
        <v>9892.86</v>
      </c>
      <c r="K133" s="48" t="str">
        <f t="shared" si="8"/>
        <v>2025-02</v>
      </c>
      <c r="L133" s="48" t="str">
        <f t="shared" si="9"/>
        <v>Q1-2025</v>
      </c>
      <c r="M133" s="50">
        <f t="shared" si="10"/>
        <v>12133.529999999999</v>
      </c>
      <c r="N133" s="51">
        <f t="shared" si="11"/>
        <v>0.55086330533510031</v>
      </c>
    </row>
    <row r="134" spans="1:14" ht="15">
      <c r="A134" s="48">
        <f>Raw_Data!A134</f>
        <v>133</v>
      </c>
      <c r="B134" s="49">
        <f>Raw_Data!B134</f>
        <v>45691</v>
      </c>
      <c r="C134" s="48" t="str">
        <f>Raw_Data!C134</f>
        <v>US</v>
      </c>
      <c r="D134" s="48" t="str">
        <f>Raw_Data!D134</f>
        <v>Services</v>
      </c>
      <c r="E134" s="48" t="str">
        <f>Raw_Data!E134</f>
        <v>Mid-Market</v>
      </c>
      <c r="F134" s="48" t="str">
        <f>Raw_Data!F134</f>
        <v>Partner</v>
      </c>
      <c r="G134" s="50">
        <f>Raw_Data!G134</f>
        <v>87</v>
      </c>
      <c r="H134" s="50">
        <f>Raw_Data!H134</f>
        <v>378.97</v>
      </c>
      <c r="I134" s="50">
        <f>Raw_Data!I134</f>
        <v>32970.39</v>
      </c>
      <c r="J134" s="50">
        <f>Raw_Data!J134</f>
        <v>17512.75</v>
      </c>
      <c r="K134" s="48" t="str">
        <f t="shared" si="8"/>
        <v>2025-02</v>
      </c>
      <c r="L134" s="48" t="str">
        <f t="shared" si="9"/>
        <v>Q1-2025</v>
      </c>
      <c r="M134" s="50">
        <f t="shared" si="10"/>
        <v>15457.64</v>
      </c>
      <c r="N134" s="51">
        <f t="shared" si="11"/>
        <v>0.46883400529990699</v>
      </c>
    </row>
    <row r="135" spans="1:14" ht="15">
      <c r="A135" s="48">
        <f>Raw_Data!A135</f>
        <v>134</v>
      </c>
      <c r="B135" s="49">
        <f>Raw_Data!B135</f>
        <v>45694</v>
      </c>
      <c r="C135" s="48" t="str">
        <f>Raw_Data!C135</f>
        <v>UK</v>
      </c>
      <c r="D135" s="48" t="str">
        <f>Raw_Data!D135</f>
        <v>Training</v>
      </c>
      <c r="E135" s="48" t="str">
        <f>Raw_Data!E135</f>
        <v>Public Sector</v>
      </c>
      <c r="F135" s="48" t="str">
        <f>Raw_Data!F135</f>
        <v>Direct</v>
      </c>
      <c r="G135" s="50">
        <f>Raw_Data!G135</f>
        <v>92</v>
      </c>
      <c r="H135" s="50">
        <f>Raw_Data!H135</f>
        <v>203.94</v>
      </c>
      <c r="I135" s="50">
        <f>Raw_Data!I135</f>
        <v>18762.48</v>
      </c>
      <c r="J135" s="50">
        <f>Raw_Data!J135</f>
        <v>9593.25</v>
      </c>
      <c r="K135" s="48" t="str">
        <f t="shared" si="8"/>
        <v>2025-02</v>
      </c>
      <c r="L135" s="48" t="str">
        <f t="shared" si="9"/>
        <v>Q1-2025</v>
      </c>
      <c r="M135" s="50">
        <f t="shared" si="10"/>
        <v>9169.23</v>
      </c>
      <c r="N135" s="51">
        <f t="shared" si="11"/>
        <v>0.48870032106629824</v>
      </c>
    </row>
    <row r="136" spans="1:14" ht="15">
      <c r="A136" s="48">
        <f>Raw_Data!A136</f>
        <v>135</v>
      </c>
      <c r="B136" s="49">
        <f>Raw_Data!B136</f>
        <v>45700</v>
      </c>
      <c r="C136" s="48" t="str">
        <f>Raw_Data!C136</f>
        <v>US</v>
      </c>
      <c r="D136" s="48" t="str">
        <f>Raw_Data!D136</f>
        <v>Software</v>
      </c>
      <c r="E136" s="48" t="str">
        <f>Raw_Data!E136</f>
        <v>Public Sector</v>
      </c>
      <c r="F136" s="48" t="str">
        <f>Raw_Data!F136</f>
        <v>Direct</v>
      </c>
      <c r="G136" s="50">
        <f>Raw_Data!G136</f>
        <v>197</v>
      </c>
      <c r="H136" s="50">
        <f>Raw_Data!H136</f>
        <v>571.36</v>
      </c>
      <c r="I136" s="50">
        <f>Raw_Data!I136</f>
        <v>112557.92</v>
      </c>
      <c r="J136" s="50">
        <f>Raw_Data!J136</f>
        <v>49930.26</v>
      </c>
      <c r="K136" s="48" t="str">
        <f t="shared" si="8"/>
        <v>2025-02</v>
      </c>
      <c r="L136" s="48" t="str">
        <f t="shared" si="9"/>
        <v>Q1-2025</v>
      </c>
      <c r="M136" s="50">
        <f t="shared" si="10"/>
        <v>62627.659999999996</v>
      </c>
      <c r="N136" s="51">
        <f t="shared" si="11"/>
        <v>0.55640384968023571</v>
      </c>
    </row>
    <row r="137" spans="1:14" ht="15">
      <c r="A137" s="48">
        <f>Raw_Data!A137</f>
        <v>136</v>
      </c>
      <c r="B137" s="49">
        <f>Raw_Data!B137</f>
        <v>45701</v>
      </c>
      <c r="C137" s="48" t="str">
        <f>Raw_Data!C137</f>
        <v>EU</v>
      </c>
      <c r="D137" s="48" t="str">
        <f>Raw_Data!D137</f>
        <v>Training</v>
      </c>
      <c r="E137" s="48" t="str">
        <f>Raw_Data!E137</f>
        <v>Mid-Market</v>
      </c>
      <c r="F137" s="48" t="str">
        <f>Raw_Data!F137</f>
        <v>Partner</v>
      </c>
      <c r="G137" s="50">
        <f>Raw_Data!G137</f>
        <v>61</v>
      </c>
      <c r="H137" s="50">
        <f>Raw_Data!H137</f>
        <v>221.77</v>
      </c>
      <c r="I137" s="50">
        <f>Raw_Data!I137</f>
        <v>13527.97</v>
      </c>
      <c r="J137" s="50">
        <f>Raw_Data!J137</f>
        <v>6124.27</v>
      </c>
      <c r="K137" s="48" t="str">
        <f t="shared" si="8"/>
        <v>2025-02</v>
      </c>
      <c r="L137" s="48" t="str">
        <f t="shared" si="9"/>
        <v>Q1-2025</v>
      </c>
      <c r="M137" s="50">
        <f t="shared" si="10"/>
        <v>7403.6999999999989</v>
      </c>
      <c r="N137" s="51">
        <f t="shared" si="11"/>
        <v>0.54728832189899879</v>
      </c>
    </row>
    <row r="138" spans="1:14" ht="15">
      <c r="A138" s="48">
        <f>Raw_Data!A138</f>
        <v>137</v>
      </c>
      <c r="B138" s="49">
        <f>Raw_Data!B138</f>
        <v>45707</v>
      </c>
      <c r="C138" s="48" t="str">
        <f>Raw_Data!C138</f>
        <v>EU</v>
      </c>
      <c r="D138" s="48" t="str">
        <f>Raw_Data!D138</f>
        <v>Training</v>
      </c>
      <c r="E138" s="48" t="str">
        <f>Raw_Data!E138</f>
        <v>Enterprise</v>
      </c>
      <c r="F138" s="48" t="str">
        <f>Raw_Data!F138</f>
        <v>Direct</v>
      </c>
      <c r="G138" s="50">
        <f>Raw_Data!G138</f>
        <v>53</v>
      </c>
      <c r="H138" s="50">
        <f>Raw_Data!H138</f>
        <v>262.97000000000003</v>
      </c>
      <c r="I138" s="50">
        <f>Raw_Data!I138</f>
        <v>13937.41</v>
      </c>
      <c r="J138" s="50">
        <f>Raw_Data!J138</f>
        <v>6928.53</v>
      </c>
      <c r="K138" s="48" t="str">
        <f t="shared" si="8"/>
        <v>2025-02</v>
      </c>
      <c r="L138" s="48" t="str">
        <f t="shared" si="9"/>
        <v>Q1-2025</v>
      </c>
      <c r="M138" s="50">
        <f t="shared" si="10"/>
        <v>7008.88</v>
      </c>
      <c r="N138" s="51">
        <f t="shared" si="11"/>
        <v>0.50288252982440784</v>
      </c>
    </row>
    <row r="139" spans="1:14" ht="15">
      <c r="A139" s="48">
        <f>Raw_Data!A139</f>
        <v>138</v>
      </c>
      <c r="B139" s="49">
        <f>Raw_Data!B139</f>
        <v>45707</v>
      </c>
      <c r="C139" s="48" t="str">
        <f>Raw_Data!C139</f>
        <v>UK</v>
      </c>
      <c r="D139" s="48" t="str">
        <f>Raw_Data!D139</f>
        <v>Software</v>
      </c>
      <c r="E139" s="48" t="str">
        <f>Raw_Data!E139</f>
        <v>Enterprise</v>
      </c>
      <c r="F139" s="48" t="str">
        <f>Raw_Data!F139</f>
        <v>Direct</v>
      </c>
      <c r="G139" s="50">
        <f>Raw_Data!G139</f>
        <v>114</v>
      </c>
      <c r="H139" s="50">
        <f>Raw_Data!H139</f>
        <v>560.46</v>
      </c>
      <c r="I139" s="50">
        <f>Raw_Data!I139</f>
        <v>63892.44</v>
      </c>
      <c r="J139" s="50">
        <f>Raw_Data!J139</f>
        <v>27202.42</v>
      </c>
      <c r="K139" s="48" t="str">
        <f t="shared" si="8"/>
        <v>2025-02</v>
      </c>
      <c r="L139" s="48" t="str">
        <f t="shared" si="9"/>
        <v>Q1-2025</v>
      </c>
      <c r="M139" s="50">
        <f t="shared" si="10"/>
        <v>36690.020000000004</v>
      </c>
      <c r="N139" s="51">
        <f t="shared" si="11"/>
        <v>0.57424665578588019</v>
      </c>
    </row>
    <row r="140" spans="1:14" ht="15">
      <c r="A140" s="48">
        <f>Raw_Data!A140</f>
        <v>139</v>
      </c>
      <c r="B140" s="49">
        <f>Raw_Data!B140</f>
        <v>45711</v>
      </c>
      <c r="C140" s="48" t="str">
        <f>Raw_Data!C140</f>
        <v>APAC</v>
      </c>
      <c r="D140" s="48" t="str">
        <f>Raw_Data!D140</f>
        <v>Hardware</v>
      </c>
      <c r="E140" s="48" t="str">
        <f>Raw_Data!E140</f>
        <v>Mid-Market</v>
      </c>
      <c r="F140" s="48" t="str">
        <f>Raw_Data!F140</f>
        <v>Partner</v>
      </c>
      <c r="G140" s="50">
        <f>Raw_Data!G140</f>
        <v>114</v>
      </c>
      <c r="H140" s="50">
        <f>Raw_Data!H140</f>
        <v>518.33000000000004</v>
      </c>
      <c r="I140" s="50">
        <f>Raw_Data!I140</f>
        <v>59089.62</v>
      </c>
      <c r="J140" s="50">
        <f>Raw_Data!J140</f>
        <v>40124.29</v>
      </c>
      <c r="K140" s="48" t="str">
        <f t="shared" si="8"/>
        <v>2025-02</v>
      </c>
      <c r="L140" s="48" t="str">
        <f t="shared" si="9"/>
        <v>Q1-2025</v>
      </c>
      <c r="M140" s="50">
        <f t="shared" si="10"/>
        <v>18965.330000000002</v>
      </c>
      <c r="N140" s="51">
        <f t="shared" si="11"/>
        <v>0.32095874029990379</v>
      </c>
    </row>
    <row r="141" spans="1:14" ht="15">
      <c r="A141" s="48">
        <f>Raw_Data!A141</f>
        <v>140</v>
      </c>
      <c r="B141" s="49">
        <f>Raw_Data!B141</f>
        <v>45715</v>
      </c>
      <c r="C141" s="48" t="str">
        <f>Raw_Data!C141</f>
        <v>EU</v>
      </c>
      <c r="D141" s="48" t="str">
        <f>Raw_Data!D141</f>
        <v>Software</v>
      </c>
      <c r="E141" s="48" t="str">
        <f>Raw_Data!E141</f>
        <v>SMB</v>
      </c>
      <c r="F141" s="48" t="str">
        <f>Raw_Data!F141</f>
        <v>Online</v>
      </c>
      <c r="G141" s="50">
        <f>Raw_Data!G141</f>
        <v>140</v>
      </c>
      <c r="H141" s="50">
        <f>Raw_Data!H141</f>
        <v>425.57</v>
      </c>
      <c r="I141" s="50">
        <f>Raw_Data!I141</f>
        <v>59579.8</v>
      </c>
      <c r="J141" s="50">
        <f>Raw_Data!J141</f>
        <v>24966.51</v>
      </c>
      <c r="K141" s="48" t="str">
        <f t="shared" si="8"/>
        <v>2025-02</v>
      </c>
      <c r="L141" s="48" t="str">
        <f t="shared" si="9"/>
        <v>Q1-2025</v>
      </c>
      <c r="M141" s="50">
        <f t="shared" si="10"/>
        <v>34613.290000000008</v>
      </c>
      <c r="N141" s="51">
        <f t="shared" si="11"/>
        <v>0.58095680079490042</v>
      </c>
    </row>
    <row r="142" spans="1:14" ht="15">
      <c r="A142" s="48">
        <f>Raw_Data!A142</f>
        <v>141</v>
      </c>
      <c r="B142" s="49">
        <f>Raw_Data!B142</f>
        <v>45719</v>
      </c>
      <c r="C142" s="48" t="str">
        <f>Raw_Data!C142</f>
        <v>APAC</v>
      </c>
      <c r="D142" s="48" t="str">
        <f>Raw_Data!D142</f>
        <v>Services</v>
      </c>
      <c r="E142" s="48" t="str">
        <f>Raw_Data!E142</f>
        <v>Public Sector</v>
      </c>
      <c r="F142" s="48" t="str">
        <f>Raw_Data!F142</f>
        <v>Partner</v>
      </c>
      <c r="G142" s="50">
        <f>Raw_Data!G142</f>
        <v>42</v>
      </c>
      <c r="H142" s="50">
        <f>Raw_Data!H142</f>
        <v>321.16000000000003</v>
      </c>
      <c r="I142" s="50">
        <f>Raw_Data!I142</f>
        <v>13488.72</v>
      </c>
      <c r="J142" s="50">
        <f>Raw_Data!J142</f>
        <v>7328.52</v>
      </c>
      <c r="K142" s="48" t="str">
        <f t="shared" si="8"/>
        <v>2025-03</v>
      </c>
      <c r="L142" s="48" t="str">
        <f t="shared" si="9"/>
        <v>Q1-2025</v>
      </c>
      <c r="M142" s="50">
        <f t="shared" si="10"/>
        <v>6160.1999999999989</v>
      </c>
      <c r="N142" s="51">
        <f t="shared" si="11"/>
        <v>0.45669270323648198</v>
      </c>
    </row>
    <row r="143" spans="1:14" ht="15">
      <c r="A143" s="48">
        <f>Raw_Data!A143</f>
        <v>142</v>
      </c>
      <c r="B143" s="49">
        <f>Raw_Data!B143</f>
        <v>45720</v>
      </c>
      <c r="C143" s="48" t="str">
        <f>Raw_Data!C143</f>
        <v>UK</v>
      </c>
      <c r="D143" s="48" t="str">
        <f>Raw_Data!D143</f>
        <v>Training</v>
      </c>
      <c r="E143" s="48" t="str">
        <f>Raw_Data!E143</f>
        <v>SMB</v>
      </c>
      <c r="F143" s="48" t="str">
        <f>Raw_Data!F143</f>
        <v>Direct</v>
      </c>
      <c r="G143" s="50">
        <f>Raw_Data!G143</f>
        <v>177</v>
      </c>
      <c r="H143" s="50">
        <f>Raw_Data!H143</f>
        <v>167.27</v>
      </c>
      <c r="I143" s="50">
        <f>Raw_Data!I143</f>
        <v>29606.79</v>
      </c>
      <c r="J143" s="50">
        <f>Raw_Data!J143</f>
        <v>15097.63</v>
      </c>
      <c r="K143" s="48" t="str">
        <f t="shared" si="8"/>
        <v>2025-03</v>
      </c>
      <c r="L143" s="48" t="str">
        <f t="shared" si="9"/>
        <v>Q1-2025</v>
      </c>
      <c r="M143" s="50">
        <f t="shared" si="10"/>
        <v>14509.160000000002</v>
      </c>
      <c r="N143" s="51">
        <f t="shared" si="11"/>
        <v>0.49006190809608208</v>
      </c>
    </row>
    <row r="144" spans="1:14" ht="15">
      <c r="A144" s="48">
        <f>Raw_Data!A144</f>
        <v>143</v>
      </c>
      <c r="B144" s="49">
        <f>Raw_Data!B144</f>
        <v>45723</v>
      </c>
      <c r="C144" s="48" t="str">
        <f>Raw_Data!C144</f>
        <v>UK</v>
      </c>
      <c r="D144" s="48" t="str">
        <f>Raw_Data!D144</f>
        <v>Software</v>
      </c>
      <c r="E144" s="48" t="str">
        <f>Raw_Data!E144</f>
        <v>Public Sector</v>
      </c>
      <c r="F144" s="48" t="str">
        <f>Raw_Data!F144</f>
        <v>Online</v>
      </c>
      <c r="G144" s="50">
        <f>Raw_Data!G144</f>
        <v>215</v>
      </c>
      <c r="H144" s="50">
        <f>Raw_Data!H144</f>
        <v>472.25</v>
      </c>
      <c r="I144" s="50">
        <f>Raw_Data!I144</f>
        <v>101533.75</v>
      </c>
      <c r="J144" s="50">
        <f>Raw_Data!J144</f>
        <v>45254.559999999998</v>
      </c>
      <c r="K144" s="48" t="str">
        <f t="shared" si="8"/>
        <v>2025-03</v>
      </c>
      <c r="L144" s="48" t="str">
        <f t="shared" si="9"/>
        <v>Q1-2025</v>
      </c>
      <c r="M144" s="50">
        <f t="shared" si="10"/>
        <v>56279.19</v>
      </c>
      <c r="N144" s="51">
        <f t="shared" si="11"/>
        <v>0.5542904699176382</v>
      </c>
    </row>
    <row r="145" spans="1:14" ht="15">
      <c r="A145" s="48">
        <f>Raw_Data!A145</f>
        <v>144</v>
      </c>
      <c r="B145" s="49">
        <f>Raw_Data!B145</f>
        <v>45728</v>
      </c>
      <c r="C145" s="48" t="str">
        <f>Raw_Data!C145</f>
        <v>UK</v>
      </c>
      <c r="D145" s="48" t="str">
        <f>Raw_Data!D145</f>
        <v>Services</v>
      </c>
      <c r="E145" s="48" t="str">
        <f>Raw_Data!E145</f>
        <v>Mid-Market</v>
      </c>
      <c r="F145" s="48" t="str">
        <f>Raw_Data!F145</f>
        <v>Partner</v>
      </c>
      <c r="G145" s="50">
        <f>Raw_Data!G145</f>
        <v>88</v>
      </c>
      <c r="H145" s="50">
        <f>Raw_Data!H145</f>
        <v>351.24</v>
      </c>
      <c r="I145" s="50">
        <f>Raw_Data!I145</f>
        <v>30909.119999999999</v>
      </c>
      <c r="J145" s="50">
        <f>Raw_Data!J145</f>
        <v>17913.150000000001</v>
      </c>
      <c r="K145" s="48" t="str">
        <f t="shared" si="8"/>
        <v>2025-03</v>
      </c>
      <c r="L145" s="48" t="str">
        <f t="shared" si="9"/>
        <v>Q1-2025</v>
      </c>
      <c r="M145" s="50">
        <f t="shared" si="10"/>
        <v>12995.969999999998</v>
      </c>
      <c r="N145" s="51">
        <f t="shared" si="11"/>
        <v>0.42045745721651079</v>
      </c>
    </row>
    <row r="146" spans="1:14" ht="15">
      <c r="A146" s="48">
        <f>Raw_Data!A146</f>
        <v>145</v>
      </c>
      <c r="B146" s="49">
        <f>Raw_Data!B146</f>
        <v>45728</v>
      </c>
      <c r="C146" s="48" t="str">
        <f>Raw_Data!C146</f>
        <v>EU</v>
      </c>
      <c r="D146" s="48" t="str">
        <f>Raw_Data!D146</f>
        <v>Software</v>
      </c>
      <c r="E146" s="48" t="str">
        <f>Raw_Data!E146</f>
        <v>Enterprise</v>
      </c>
      <c r="F146" s="48" t="str">
        <f>Raw_Data!F146</f>
        <v>Online</v>
      </c>
      <c r="G146" s="50">
        <f>Raw_Data!G146</f>
        <v>208</v>
      </c>
      <c r="H146" s="50">
        <f>Raw_Data!H146</f>
        <v>598.54</v>
      </c>
      <c r="I146" s="50">
        <f>Raw_Data!I146</f>
        <v>124496.32000000001</v>
      </c>
      <c r="J146" s="50">
        <f>Raw_Data!J146</f>
        <v>51174.15</v>
      </c>
      <c r="K146" s="48" t="str">
        <f t="shared" si="8"/>
        <v>2025-03</v>
      </c>
      <c r="L146" s="48" t="str">
        <f t="shared" si="9"/>
        <v>Q1-2025</v>
      </c>
      <c r="M146" s="50">
        <f t="shared" si="10"/>
        <v>73322.170000000013</v>
      </c>
      <c r="N146" s="51">
        <f t="shared" si="11"/>
        <v>0.5889505007055631</v>
      </c>
    </row>
    <row r="147" spans="1:14" ht="15">
      <c r="A147" s="48">
        <f>Raw_Data!A147</f>
        <v>146</v>
      </c>
      <c r="B147" s="49">
        <f>Raw_Data!B147</f>
        <v>45734</v>
      </c>
      <c r="C147" s="48" t="str">
        <f>Raw_Data!C147</f>
        <v>US</v>
      </c>
      <c r="D147" s="48" t="str">
        <f>Raw_Data!D147</f>
        <v>Training</v>
      </c>
      <c r="E147" s="48" t="str">
        <f>Raw_Data!E147</f>
        <v>Mid-Market</v>
      </c>
      <c r="F147" s="48" t="str">
        <f>Raw_Data!F147</f>
        <v>Partner</v>
      </c>
      <c r="G147" s="50">
        <f>Raw_Data!G147</f>
        <v>143</v>
      </c>
      <c r="H147" s="50">
        <f>Raw_Data!H147</f>
        <v>258.85000000000002</v>
      </c>
      <c r="I147" s="50">
        <f>Raw_Data!I147</f>
        <v>37015.550000000003</v>
      </c>
      <c r="J147" s="50">
        <f>Raw_Data!J147</f>
        <v>17812.14</v>
      </c>
      <c r="K147" s="48" t="str">
        <f t="shared" si="8"/>
        <v>2025-03</v>
      </c>
      <c r="L147" s="48" t="str">
        <f t="shared" si="9"/>
        <v>Q1-2025</v>
      </c>
      <c r="M147" s="50">
        <f t="shared" si="10"/>
        <v>19203.410000000003</v>
      </c>
      <c r="N147" s="51">
        <f t="shared" si="11"/>
        <v>0.51879304778667346</v>
      </c>
    </row>
    <row r="148" spans="1:14" ht="15">
      <c r="A148" s="48">
        <f>Raw_Data!A148</f>
        <v>147</v>
      </c>
      <c r="B148" s="49">
        <f>Raw_Data!B148</f>
        <v>45737</v>
      </c>
      <c r="C148" s="48" t="str">
        <f>Raw_Data!C148</f>
        <v>US</v>
      </c>
      <c r="D148" s="48" t="str">
        <f>Raw_Data!D148</f>
        <v>Services</v>
      </c>
      <c r="E148" s="48" t="str">
        <f>Raw_Data!E148</f>
        <v>Enterprise</v>
      </c>
      <c r="F148" s="48" t="str">
        <f>Raw_Data!F148</f>
        <v>Partner</v>
      </c>
      <c r="G148" s="50">
        <f>Raw_Data!G148</f>
        <v>24</v>
      </c>
      <c r="H148" s="50">
        <f>Raw_Data!H148</f>
        <v>479.04</v>
      </c>
      <c r="I148" s="50">
        <f>Raw_Data!I148</f>
        <v>11496.96</v>
      </c>
      <c r="J148" s="50">
        <f>Raw_Data!J148</f>
        <v>6279.93</v>
      </c>
      <c r="K148" s="48" t="str">
        <f t="shared" si="8"/>
        <v>2025-03</v>
      </c>
      <c r="L148" s="48" t="str">
        <f t="shared" si="9"/>
        <v>Q1-2025</v>
      </c>
      <c r="M148" s="50">
        <f t="shared" si="10"/>
        <v>5217.0299999999988</v>
      </c>
      <c r="N148" s="51">
        <f t="shared" si="11"/>
        <v>0.45377473697394782</v>
      </c>
    </row>
    <row r="149" spans="1:14" ht="15">
      <c r="A149" s="48">
        <f>Raw_Data!A149</f>
        <v>148</v>
      </c>
      <c r="B149" s="49">
        <f>Raw_Data!B149</f>
        <v>45738</v>
      </c>
      <c r="C149" s="48" t="str">
        <f>Raw_Data!C149</f>
        <v>US</v>
      </c>
      <c r="D149" s="48" t="str">
        <f>Raw_Data!D149</f>
        <v>Training</v>
      </c>
      <c r="E149" s="48" t="str">
        <f>Raw_Data!E149</f>
        <v>Mid-Market</v>
      </c>
      <c r="F149" s="48" t="str">
        <f>Raw_Data!F149</f>
        <v>Partner</v>
      </c>
      <c r="G149" s="50">
        <f>Raw_Data!G149</f>
        <v>44</v>
      </c>
      <c r="H149" s="50">
        <f>Raw_Data!H149</f>
        <v>251.79</v>
      </c>
      <c r="I149" s="50">
        <f>Raw_Data!I149</f>
        <v>11078.76</v>
      </c>
      <c r="J149" s="50">
        <f>Raw_Data!J149</f>
        <v>5020.42</v>
      </c>
      <c r="K149" s="48" t="str">
        <f t="shared" si="8"/>
        <v>2025-03</v>
      </c>
      <c r="L149" s="48" t="str">
        <f t="shared" si="9"/>
        <v>Q1-2025</v>
      </c>
      <c r="M149" s="50">
        <f t="shared" si="10"/>
        <v>6058.34</v>
      </c>
      <c r="N149" s="51">
        <f t="shared" si="11"/>
        <v>0.54684278745996839</v>
      </c>
    </row>
    <row r="150" spans="1:14" ht="15">
      <c r="A150" s="48">
        <f>Raw_Data!A150</f>
        <v>149</v>
      </c>
      <c r="B150" s="49">
        <f>Raw_Data!B150</f>
        <v>45741</v>
      </c>
      <c r="C150" s="48" t="str">
        <f>Raw_Data!C150</f>
        <v>APAC</v>
      </c>
      <c r="D150" s="48" t="str">
        <f>Raw_Data!D150</f>
        <v>Software</v>
      </c>
      <c r="E150" s="48" t="str">
        <f>Raw_Data!E150</f>
        <v>Enterprise</v>
      </c>
      <c r="F150" s="48" t="str">
        <f>Raw_Data!F150</f>
        <v>Online</v>
      </c>
      <c r="G150" s="50">
        <f>Raw_Data!G150</f>
        <v>176</v>
      </c>
      <c r="H150" s="50">
        <f>Raw_Data!H150</f>
        <v>541.54999999999995</v>
      </c>
      <c r="I150" s="50">
        <f>Raw_Data!I150</f>
        <v>95312.8</v>
      </c>
      <c r="J150" s="50">
        <f>Raw_Data!J150</f>
        <v>41743.67</v>
      </c>
      <c r="K150" s="48" t="str">
        <f t="shared" si="8"/>
        <v>2025-03</v>
      </c>
      <c r="L150" s="48" t="str">
        <f t="shared" si="9"/>
        <v>Q1-2025</v>
      </c>
      <c r="M150" s="50">
        <f t="shared" si="10"/>
        <v>53569.130000000005</v>
      </c>
      <c r="N150" s="51">
        <f t="shared" si="11"/>
        <v>0.56203500474228019</v>
      </c>
    </row>
    <row r="151" spans="1:14" ht="15">
      <c r="A151" s="48">
        <f>Raw_Data!A151</f>
        <v>150</v>
      </c>
      <c r="B151" s="49">
        <f>Raw_Data!B151</f>
        <v>45744</v>
      </c>
      <c r="C151" s="48" t="str">
        <f>Raw_Data!C151</f>
        <v>US</v>
      </c>
      <c r="D151" s="48" t="str">
        <f>Raw_Data!D151</f>
        <v>Training</v>
      </c>
      <c r="E151" s="48" t="str">
        <f>Raw_Data!E151</f>
        <v>Enterprise</v>
      </c>
      <c r="F151" s="48" t="str">
        <f>Raw_Data!F151</f>
        <v>Online</v>
      </c>
      <c r="G151" s="50">
        <f>Raw_Data!G151</f>
        <v>52</v>
      </c>
      <c r="H151" s="50">
        <f>Raw_Data!H151</f>
        <v>295.22000000000003</v>
      </c>
      <c r="I151" s="50">
        <f>Raw_Data!I151</f>
        <v>15351.44</v>
      </c>
      <c r="J151" s="50">
        <f>Raw_Data!J151</f>
        <v>7671.14</v>
      </c>
      <c r="K151" s="48" t="str">
        <f t="shared" si="8"/>
        <v>2025-03</v>
      </c>
      <c r="L151" s="48" t="str">
        <f t="shared" si="9"/>
        <v>Q1-2025</v>
      </c>
      <c r="M151" s="50">
        <f t="shared" si="10"/>
        <v>7680.3</v>
      </c>
      <c r="N151" s="51">
        <f t="shared" si="11"/>
        <v>0.50029834334759471</v>
      </c>
    </row>
    <row r="152" spans="1:14" ht="15">
      <c r="A152" s="48">
        <f>Raw_Data!A152</f>
        <v>151</v>
      </c>
      <c r="B152" s="49">
        <f>Raw_Data!B152</f>
        <v>45748</v>
      </c>
      <c r="C152" s="48" t="str">
        <f>Raw_Data!C152</f>
        <v>EU</v>
      </c>
      <c r="D152" s="48" t="str">
        <f>Raw_Data!D152</f>
        <v>Services</v>
      </c>
      <c r="E152" s="48" t="str">
        <f>Raw_Data!E152</f>
        <v>SMB</v>
      </c>
      <c r="F152" s="48" t="str">
        <f>Raw_Data!F152</f>
        <v>Partner</v>
      </c>
      <c r="G152" s="50">
        <f>Raw_Data!G152</f>
        <v>147</v>
      </c>
      <c r="H152" s="50">
        <f>Raw_Data!H152</f>
        <v>306.17</v>
      </c>
      <c r="I152" s="50">
        <f>Raw_Data!I152</f>
        <v>45006.99</v>
      </c>
      <c r="J152" s="50">
        <f>Raw_Data!J152</f>
        <v>25273.7</v>
      </c>
      <c r="K152" s="48" t="str">
        <f t="shared" si="8"/>
        <v>2025-04</v>
      </c>
      <c r="L152" s="48" t="str">
        <f t="shared" si="9"/>
        <v>Q2-2025</v>
      </c>
      <c r="M152" s="50">
        <f t="shared" si="10"/>
        <v>19733.289999999997</v>
      </c>
      <c r="N152" s="51">
        <f t="shared" si="11"/>
        <v>0.43844944974102906</v>
      </c>
    </row>
    <row r="153" spans="1:14" ht="15">
      <c r="A153" s="48">
        <f>Raw_Data!A153</f>
        <v>152</v>
      </c>
      <c r="B153" s="49">
        <f>Raw_Data!B153</f>
        <v>45752</v>
      </c>
      <c r="C153" s="48" t="str">
        <f>Raw_Data!C153</f>
        <v>US</v>
      </c>
      <c r="D153" s="48" t="str">
        <f>Raw_Data!D153</f>
        <v>Software</v>
      </c>
      <c r="E153" s="48" t="str">
        <f>Raw_Data!E153</f>
        <v>SMB</v>
      </c>
      <c r="F153" s="48" t="str">
        <f>Raw_Data!F153</f>
        <v>Direct</v>
      </c>
      <c r="G153" s="50">
        <f>Raw_Data!G153</f>
        <v>53</v>
      </c>
      <c r="H153" s="50">
        <f>Raw_Data!H153</f>
        <v>458.82</v>
      </c>
      <c r="I153" s="50">
        <f>Raw_Data!I153</f>
        <v>24317.46</v>
      </c>
      <c r="J153" s="50">
        <f>Raw_Data!J153</f>
        <v>10472.68</v>
      </c>
      <c r="K153" s="48" t="str">
        <f t="shared" si="8"/>
        <v>2025-04</v>
      </c>
      <c r="L153" s="48" t="str">
        <f t="shared" si="9"/>
        <v>Q2-2025</v>
      </c>
      <c r="M153" s="50">
        <f t="shared" si="10"/>
        <v>13844.779999999999</v>
      </c>
      <c r="N153" s="51">
        <f t="shared" si="11"/>
        <v>0.56933495521325006</v>
      </c>
    </row>
    <row r="154" spans="1:14" ht="15">
      <c r="A154" s="48">
        <f>Raw_Data!A154</f>
        <v>153</v>
      </c>
      <c r="B154" s="49">
        <f>Raw_Data!B154</f>
        <v>45754</v>
      </c>
      <c r="C154" s="48" t="str">
        <f>Raw_Data!C154</f>
        <v>US</v>
      </c>
      <c r="D154" s="48" t="str">
        <f>Raw_Data!D154</f>
        <v>Software</v>
      </c>
      <c r="E154" s="48" t="str">
        <f>Raw_Data!E154</f>
        <v>Mid-Market</v>
      </c>
      <c r="F154" s="48" t="str">
        <f>Raw_Data!F154</f>
        <v>Partner</v>
      </c>
      <c r="G154" s="50">
        <f>Raw_Data!G154</f>
        <v>73</v>
      </c>
      <c r="H154" s="50">
        <f>Raw_Data!H154</f>
        <v>533.99</v>
      </c>
      <c r="I154" s="50">
        <f>Raw_Data!I154</f>
        <v>38981.269999999997</v>
      </c>
      <c r="J154" s="50">
        <f>Raw_Data!J154</f>
        <v>15318.19</v>
      </c>
      <c r="K154" s="48" t="str">
        <f t="shared" si="8"/>
        <v>2025-04</v>
      </c>
      <c r="L154" s="48" t="str">
        <f t="shared" si="9"/>
        <v>Q2-2025</v>
      </c>
      <c r="M154" s="50">
        <f t="shared" si="10"/>
        <v>23663.079999999994</v>
      </c>
      <c r="N154" s="51">
        <f t="shared" si="11"/>
        <v>0.60703717451996808</v>
      </c>
    </row>
    <row r="155" spans="1:14" ht="15">
      <c r="A155" s="48">
        <f>Raw_Data!A155</f>
        <v>154</v>
      </c>
      <c r="B155" s="49">
        <f>Raw_Data!B155</f>
        <v>45754</v>
      </c>
      <c r="C155" s="48" t="str">
        <f>Raw_Data!C155</f>
        <v>UK</v>
      </c>
      <c r="D155" s="48" t="str">
        <f>Raw_Data!D155</f>
        <v>Hardware</v>
      </c>
      <c r="E155" s="48" t="str">
        <f>Raw_Data!E155</f>
        <v>Enterprise</v>
      </c>
      <c r="F155" s="48" t="str">
        <f>Raw_Data!F155</f>
        <v>Direct</v>
      </c>
      <c r="G155" s="50">
        <f>Raw_Data!G155</f>
        <v>148</v>
      </c>
      <c r="H155" s="50">
        <f>Raw_Data!H155</f>
        <v>671.07</v>
      </c>
      <c r="I155" s="50">
        <f>Raw_Data!I155</f>
        <v>99318.36</v>
      </c>
      <c r="J155" s="50">
        <f>Raw_Data!J155</f>
        <v>66004.679999999993</v>
      </c>
      <c r="K155" s="48" t="str">
        <f t="shared" si="8"/>
        <v>2025-04</v>
      </c>
      <c r="L155" s="48" t="str">
        <f t="shared" si="9"/>
        <v>Q2-2025</v>
      </c>
      <c r="M155" s="50">
        <f t="shared" si="10"/>
        <v>33313.680000000008</v>
      </c>
      <c r="N155" s="51">
        <f t="shared" si="11"/>
        <v>0.3354231785542976</v>
      </c>
    </row>
    <row r="156" spans="1:14" ht="15">
      <c r="A156" s="48">
        <f>Raw_Data!A156</f>
        <v>155</v>
      </c>
      <c r="B156" s="49">
        <f>Raw_Data!B156</f>
        <v>45761</v>
      </c>
      <c r="C156" s="48" t="str">
        <f>Raw_Data!C156</f>
        <v>US</v>
      </c>
      <c r="D156" s="48" t="str">
        <f>Raw_Data!D156</f>
        <v>Services</v>
      </c>
      <c r="E156" s="48" t="str">
        <f>Raw_Data!E156</f>
        <v>Mid-Market</v>
      </c>
      <c r="F156" s="48" t="str">
        <f>Raw_Data!F156</f>
        <v>Partner</v>
      </c>
      <c r="G156" s="50">
        <f>Raw_Data!G156</f>
        <v>174</v>
      </c>
      <c r="H156" s="50">
        <f>Raw_Data!H156</f>
        <v>402.97</v>
      </c>
      <c r="I156" s="50">
        <f>Raw_Data!I156</f>
        <v>70116.78</v>
      </c>
      <c r="J156" s="50">
        <f>Raw_Data!J156</f>
        <v>37183.67</v>
      </c>
      <c r="K156" s="48" t="str">
        <f t="shared" si="8"/>
        <v>2025-04</v>
      </c>
      <c r="L156" s="48" t="str">
        <f t="shared" si="9"/>
        <v>Q2-2025</v>
      </c>
      <c r="M156" s="50">
        <f t="shared" si="10"/>
        <v>32933.11</v>
      </c>
      <c r="N156" s="51">
        <f t="shared" si="11"/>
        <v>0.46968942384404988</v>
      </c>
    </row>
    <row r="157" spans="1:14" ht="15">
      <c r="A157" s="48">
        <f>Raw_Data!A157</f>
        <v>156</v>
      </c>
      <c r="B157" s="49">
        <f>Raw_Data!B157</f>
        <v>45760</v>
      </c>
      <c r="C157" s="48" t="str">
        <f>Raw_Data!C157</f>
        <v>EU</v>
      </c>
      <c r="D157" s="48" t="str">
        <f>Raw_Data!D157</f>
        <v>Services</v>
      </c>
      <c r="E157" s="48" t="str">
        <f>Raw_Data!E157</f>
        <v>Public Sector</v>
      </c>
      <c r="F157" s="48" t="str">
        <f>Raw_Data!F157</f>
        <v>Direct</v>
      </c>
      <c r="G157" s="50">
        <f>Raw_Data!G157</f>
        <v>31</v>
      </c>
      <c r="H157" s="50">
        <f>Raw_Data!H157</f>
        <v>388.03</v>
      </c>
      <c r="I157" s="50">
        <f>Raw_Data!I157</f>
        <v>12028.93</v>
      </c>
      <c r="J157" s="50">
        <f>Raw_Data!J157</f>
        <v>6936.28</v>
      </c>
      <c r="K157" s="48" t="str">
        <f t="shared" si="8"/>
        <v>2025-04</v>
      </c>
      <c r="L157" s="48" t="str">
        <f t="shared" si="9"/>
        <v>Q2-2025</v>
      </c>
      <c r="M157" s="50">
        <f t="shared" si="10"/>
        <v>5092.6500000000005</v>
      </c>
      <c r="N157" s="51">
        <f t="shared" si="11"/>
        <v>0.42336683312647094</v>
      </c>
    </row>
    <row r="158" spans="1:14" ht="15">
      <c r="A158" s="48">
        <f>Raw_Data!A158</f>
        <v>157</v>
      </c>
      <c r="B158" s="49">
        <f>Raw_Data!B158</f>
        <v>45765</v>
      </c>
      <c r="C158" s="48" t="str">
        <f>Raw_Data!C158</f>
        <v>APAC</v>
      </c>
      <c r="D158" s="48" t="str">
        <f>Raw_Data!D158</f>
        <v>Hardware</v>
      </c>
      <c r="E158" s="48" t="str">
        <f>Raw_Data!E158</f>
        <v>SMB</v>
      </c>
      <c r="F158" s="48" t="str">
        <f>Raw_Data!F158</f>
        <v>Direct</v>
      </c>
      <c r="G158" s="50">
        <f>Raw_Data!G158</f>
        <v>180</v>
      </c>
      <c r="H158" s="50">
        <f>Raw_Data!H158</f>
        <v>462.65</v>
      </c>
      <c r="I158" s="50">
        <f>Raw_Data!I158</f>
        <v>83277</v>
      </c>
      <c r="J158" s="50">
        <f>Raw_Data!J158</f>
        <v>58962.11</v>
      </c>
      <c r="K158" s="48" t="str">
        <f t="shared" si="8"/>
        <v>2025-04</v>
      </c>
      <c r="L158" s="48" t="str">
        <f t="shared" si="9"/>
        <v>Q2-2025</v>
      </c>
      <c r="M158" s="50">
        <f t="shared" si="10"/>
        <v>24314.89</v>
      </c>
      <c r="N158" s="51">
        <f t="shared" si="11"/>
        <v>0.2919760558137301</v>
      </c>
    </row>
    <row r="159" spans="1:14" ht="15">
      <c r="A159" s="48">
        <f>Raw_Data!A159</f>
        <v>158</v>
      </c>
      <c r="B159" s="49">
        <f>Raw_Data!B159</f>
        <v>45770</v>
      </c>
      <c r="C159" s="48" t="str">
        <f>Raw_Data!C159</f>
        <v>APAC</v>
      </c>
      <c r="D159" s="48" t="str">
        <f>Raw_Data!D159</f>
        <v>Training</v>
      </c>
      <c r="E159" s="48" t="str">
        <f>Raw_Data!E159</f>
        <v>Mid-Market</v>
      </c>
      <c r="F159" s="48" t="str">
        <f>Raw_Data!F159</f>
        <v>Direct</v>
      </c>
      <c r="G159" s="50">
        <f>Raw_Data!G159</f>
        <v>15</v>
      </c>
      <c r="H159" s="50">
        <f>Raw_Data!H159</f>
        <v>174.56</v>
      </c>
      <c r="I159" s="50">
        <f>Raw_Data!I159</f>
        <v>2618.4</v>
      </c>
      <c r="J159" s="50">
        <f>Raw_Data!J159</f>
        <v>1268.74</v>
      </c>
      <c r="K159" s="48" t="str">
        <f t="shared" si="8"/>
        <v>2025-04</v>
      </c>
      <c r="L159" s="48" t="str">
        <f t="shared" si="9"/>
        <v>Q2-2025</v>
      </c>
      <c r="M159" s="50">
        <f t="shared" si="10"/>
        <v>1349.66</v>
      </c>
      <c r="N159" s="51">
        <f t="shared" si="11"/>
        <v>0.51545218454017727</v>
      </c>
    </row>
    <row r="160" spans="1:14" ht="15">
      <c r="A160" s="48">
        <f>Raw_Data!A160</f>
        <v>159</v>
      </c>
      <c r="B160" s="49">
        <f>Raw_Data!B160</f>
        <v>45772</v>
      </c>
      <c r="C160" s="48" t="str">
        <f>Raw_Data!C160</f>
        <v>EU</v>
      </c>
      <c r="D160" s="48" t="str">
        <f>Raw_Data!D160</f>
        <v>Services</v>
      </c>
      <c r="E160" s="48" t="str">
        <f>Raw_Data!E160</f>
        <v>Mid-Market</v>
      </c>
      <c r="F160" s="48" t="str">
        <f>Raw_Data!F160</f>
        <v>Direct</v>
      </c>
      <c r="G160" s="50">
        <f>Raw_Data!G160</f>
        <v>214</v>
      </c>
      <c r="H160" s="50">
        <f>Raw_Data!H160</f>
        <v>343.77</v>
      </c>
      <c r="I160" s="50">
        <f>Raw_Data!I160</f>
        <v>73566.78</v>
      </c>
      <c r="J160" s="50">
        <f>Raw_Data!J160</f>
        <v>41184.269999999997</v>
      </c>
      <c r="K160" s="48" t="str">
        <f t="shared" si="8"/>
        <v>2025-04</v>
      </c>
      <c r="L160" s="48" t="str">
        <f t="shared" si="9"/>
        <v>Q2-2025</v>
      </c>
      <c r="M160" s="50">
        <f t="shared" si="10"/>
        <v>32382.510000000002</v>
      </c>
      <c r="N160" s="51">
        <f t="shared" si="11"/>
        <v>0.44017843379851618</v>
      </c>
    </row>
    <row r="161" spans="1:14" ht="15">
      <c r="A161" s="48">
        <f>Raw_Data!A161</f>
        <v>160</v>
      </c>
      <c r="B161" s="49">
        <f>Raw_Data!B161</f>
        <v>45773</v>
      </c>
      <c r="C161" s="48" t="str">
        <f>Raw_Data!C161</f>
        <v>EU</v>
      </c>
      <c r="D161" s="48" t="str">
        <f>Raw_Data!D161</f>
        <v>Training</v>
      </c>
      <c r="E161" s="48" t="str">
        <f>Raw_Data!E161</f>
        <v>Mid-Market</v>
      </c>
      <c r="F161" s="48" t="str">
        <f>Raw_Data!F161</f>
        <v>Online</v>
      </c>
      <c r="G161" s="50">
        <f>Raw_Data!G161</f>
        <v>170</v>
      </c>
      <c r="H161" s="50">
        <f>Raw_Data!H161</f>
        <v>224.55</v>
      </c>
      <c r="I161" s="50">
        <f>Raw_Data!I161</f>
        <v>38173.5</v>
      </c>
      <c r="J161" s="50">
        <f>Raw_Data!J161</f>
        <v>18784.939999999999</v>
      </c>
      <c r="K161" s="48" t="str">
        <f t="shared" si="8"/>
        <v>2025-04</v>
      </c>
      <c r="L161" s="48" t="str">
        <f t="shared" si="9"/>
        <v>Q2-2025</v>
      </c>
      <c r="M161" s="50">
        <f t="shared" si="10"/>
        <v>19388.560000000001</v>
      </c>
      <c r="N161" s="51">
        <f t="shared" si="11"/>
        <v>0.50790627005645284</v>
      </c>
    </row>
    <row r="162" spans="1:14" ht="15">
      <c r="A162" s="48">
        <f>Raw_Data!A162</f>
        <v>161</v>
      </c>
      <c r="B162" s="49">
        <f>Raw_Data!B162</f>
        <v>45778</v>
      </c>
      <c r="C162" s="48" t="str">
        <f>Raw_Data!C162</f>
        <v>EU</v>
      </c>
      <c r="D162" s="48" t="str">
        <f>Raw_Data!D162</f>
        <v>Hardware</v>
      </c>
      <c r="E162" s="48" t="str">
        <f>Raw_Data!E162</f>
        <v>SMB</v>
      </c>
      <c r="F162" s="48" t="str">
        <f>Raw_Data!F162</f>
        <v>Partner</v>
      </c>
      <c r="G162" s="50">
        <f>Raw_Data!G162</f>
        <v>175</v>
      </c>
      <c r="H162" s="50">
        <f>Raw_Data!H162</f>
        <v>487.84</v>
      </c>
      <c r="I162" s="50">
        <f>Raw_Data!I162</f>
        <v>85372</v>
      </c>
      <c r="J162" s="50">
        <f>Raw_Data!J162</f>
        <v>60426.98</v>
      </c>
      <c r="K162" s="48" t="str">
        <f t="shared" si="8"/>
        <v>2025-05</v>
      </c>
      <c r="L162" s="48" t="str">
        <f t="shared" si="9"/>
        <v>Q2-2025</v>
      </c>
      <c r="M162" s="50">
        <f t="shared" si="10"/>
        <v>24945.019999999997</v>
      </c>
      <c r="N162" s="51">
        <f t="shared" si="11"/>
        <v>0.29219205360071215</v>
      </c>
    </row>
    <row r="163" spans="1:14" ht="15">
      <c r="A163" s="48">
        <f>Raw_Data!A163</f>
        <v>162</v>
      </c>
      <c r="B163" s="49">
        <f>Raw_Data!B163</f>
        <v>45781</v>
      </c>
      <c r="C163" s="48" t="str">
        <f>Raw_Data!C163</f>
        <v>UK</v>
      </c>
      <c r="D163" s="48" t="str">
        <f>Raw_Data!D163</f>
        <v>Training</v>
      </c>
      <c r="E163" s="48" t="str">
        <f>Raw_Data!E163</f>
        <v>Public Sector</v>
      </c>
      <c r="F163" s="48" t="str">
        <f>Raw_Data!F163</f>
        <v>Online</v>
      </c>
      <c r="G163" s="50">
        <f>Raw_Data!G163</f>
        <v>134</v>
      </c>
      <c r="H163" s="50">
        <f>Raw_Data!H163</f>
        <v>196.33</v>
      </c>
      <c r="I163" s="50">
        <f>Raw_Data!I163</f>
        <v>26308.22</v>
      </c>
      <c r="J163" s="50">
        <f>Raw_Data!J163</f>
        <v>12959.68</v>
      </c>
      <c r="K163" s="48" t="str">
        <f t="shared" si="8"/>
        <v>2025-05</v>
      </c>
      <c r="L163" s="48" t="str">
        <f t="shared" si="9"/>
        <v>Q2-2025</v>
      </c>
      <c r="M163" s="50">
        <f t="shared" si="10"/>
        <v>13348.54</v>
      </c>
      <c r="N163" s="51">
        <f t="shared" si="11"/>
        <v>0.50739046579358082</v>
      </c>
    </row>
    <row r="164" spans="1:14" ht="15">
      <c r="A164" s="48">
        <f>Raw_Data!A164</f>
        <v>163</v>
      </c>
      <c r="B164" s="49">
        <f>Raw_Data!B164</f>
        <v>45782</v>
      </c>
      <c r="C164" s="48" t="str">
        <f>Raw_Data!C164</f>
        <v>EU</v>
      </c>
      <c r="D164" s="48" t="str">
        <f>Raw_Data!D164</f>
        <v>Software</v>
      </c>
      <c r="E164" s="48" t="str">
        <f>Raw_Data!E164</f>
        <v>Enterprise</v>
      </c>
      <c r="F164" s="48" t="str">
        <f>Raw_Data!F164</f>
        <v>Direct</v>
      </c>
      <c r="G164" s="50">
        <f>Raw_Data!G164</f>
        <v>179</v>
      </c>
      <c r="H164" s="50">
        <f>Raw_Data!H164</f>
        <v>568.36</v>
      </c>
      <c r="I164" s="50">
        <f>Raw_Data!I164</f>
        <v>101736.44</v>
      </c>
      <c r="J164" s="50">
        <f>Raw_Data!J164</f>
        <v>41895.94</v>
      </c>
      <c r="K164" s="48" t="str">
        <f t="shared" si="8"/>
        <v>2025-05</v>
      </c>
      <c r="L164" s="48" t="str">
        <f t="shared" si="9"/>
        <v>Q2-2025</v>
      </c>
      <c r="M164" s="50">
        <f t="shared" si="10"/>
        <v>59840.5</v>
      </c>
      <c r="N164" s="51">
        <f t="shared" si="11"/>
        <v>0.58819140909589518</v>
      </c>
    </row>
    <row r="165" spans="1:14" ht="15">
      <c r="A165" s="48">
        <f>Raw_Data!A165</f>
        <v>164</v>
      </c>
      <c r="B165" s="49">
        <f>Raw_Data!B165</f>
        <v>45786</v>
      </c>
      <c r="C165" s="48" t="str">
        <f>Raw_Data!C165</f>
        <v>UK</v>
      </c>
      <c r="D165" s="48" t="str">
        <f>Raw_Data!D165</f>
        <v>Hardware</v>
      </c>
      <c r="E165" s="48" t="str">
        <f>Raw_Data!E165</f>
        <v>Public Sector</v>
      </c>
      <c r="F165" s="48" t="str">
        <f>Raw_Data!F165</f>
        <v>Online</v>
      </c>
      <c r="G165" s="50">
        <f>Raw_Data!G165</f>
        <v>216</v>
      </c>
      <c r="H165" s="50">
        <f>Raw_Data!H165</f>
        <v>582.54999999999995</v>
      </c>
      <c r="I165" s="50">
        <f>Raw_Data!I165</f>
        <v>125830.8</v>
      </c>
      <c r="J165" s="50">
        <f>Raw_Data!J165</f>
        <v>89739.12</v>
      </c>
      <c r="K165" s="48" t="str">
        <f t="shared" si="8"/>
        <v>2025-05</v>
      </c>
      <c r="L165" s="48" t="str">
        <f t="shared" si="9"/>
        <v>Q2-2025</v>
      </c>
      <c r="M165" s="50">
        <f t="shared" si="10"/>
        <v>36091.680000000008</v>
      </c>
      <c r="N165" s="51">
        <f t="shared" si="11"/>
        <v>0.2868270725450367</v>
      </c>
    </row>
    <row r="166" spans="1:14" ht="15">
      <c r="A166" s="48">
        <f>Raw_Data!A166</f>
        <v>165</v>
      </c>
      <c r="B166" s="49">
        <f>Raw_Data!B166</f>
        <v>45789</v>
      </c>
      <c r="C166" s="48" t="str">
        <f>Raw_Data!C166</f>
        <v>EU</v>
      </c>
      <c r="D166" s="48" t="str">
        <f>Raw_Data!D166</f>
        <v>Software</v>
      </c>
      <c r="E166" s="48" t="str">
        <f>Raw_Data!E166</f>
        <v>SMB</v>
      </c>
      <c r="F166" s="48" t="str">
        <f>Raw_Data!F166</f>
        <v>Direct</v>
      </c>
      <c r="G166" s="50">
        <f>Raw_Data!G166</f>
        <v>81</v>
      </c>
      <c r="H166" s="50">
        <f>Raw_Data!H166</f>
        <v>429.7</v>
      </c>
      <c r="I166" s="50">
        <f>Raw_Data!I166</f>
        <v>34805.699999999997</v>
      </c>
      <c r="J166" s="50">
        <f>Raw_Data!J166</f>
        <v>15478.51</v>
      </c>
      <c r="K166" s="48" t="str">
        <f t="shared" si="8"/>
        <v>2025-05</v>
      </c>
      <c r="L166" s="48" t="str">
        <f t="shared" si="9"/>
        <v>Q2-2025</v>
      </c>
      <c r="M166" s="50">
        <f t="shared" si="10"/>
        <v>19327.189999999995</v>
      </c>
      <c r="N166" s="51">
        <f t="shared" si="11"/>
        <v>0.55528807063210905</v>
      </c>
    </row>
    <row r="167" spans="1:14" ht="15">
      <c r="A167" s="48">
        <f>Raw_Data!A167</f>
        <v>166</v>
      </c>
      <c r="B167" s="49">
        <f>Raw_Data!B167</f>
        <v>45791</v>
      </c>
      <c r="C167" s="48" t="str">
        <f>Raw_Data!C167</f>
        <v>EU</v>
      </c>
      <c r="D167" s="48" t="str">
        <f>Raw_Data!D167</f>
        <v>Hardware</v>
      </c>
      <c r="E167" s="48" t="str">
        <f>Raw_Data!E167</f>
        <v>Mid-Market</v>
      </c>
      <c r="F167" s="48" t="str">
        <f>Raw_Data!F167</f>
        <v>Partner</v>
      </c>
      <c r="G167" s="50">
        <f>Raw_Data!G167</f>
        <v>99</v>
      </c>
      <c r="H167" s="50">
        <f>Raw_Data!H167</f>
        <v>576.48</v>
      </c>
      <c r="I167" s="50">
        <f>Raw_Data!I167</f>
        <v>57071.519999999997</v>
      </c>
      <c r="J167" s="50">
        <f>Raw_Data!J167</f>
        <v>38504.11</v>
      </c>
      <c r="K167" s="48" t="str">
        <f t="shared" si="8"/>
        <v>2025-05</v>
      </c>
      <c r="L167" s="48" t="str">
        <f t="shared" si="9"/>
        <v>Q2-2025</v>
      </c>
      <c r="M167" s="50">
        <f t="shared" si="10"/>
        <v>18567.409999999996</v>
      </c>
      <c r="N167" s="51">
        <f t="shared" si="11"/>
        <v>0.32533582424298491</v>
      </c>
    </row>
    <row r="168" spans="1:14" ht="15">
      <c r="A168" s="48">
        <f>Raw_Data!A168</f>
        <v>167</v>
      </c>
      <c r="B168" s="49">
        <f>Raw_Data!B168</f>
        <v>45797</v>
      </c>
      <c r="C168" s="48" t="str">
        <f>Raw_Data!C168</f>
        <v>APAC</v>
      </c>
      <c r="D168" s="48" t="str">
        <f>Raw_Data!D168</f>
        <v>Training</v>
      </c>
      <c r="E168" s="48" t="str">
        <f>Raw_Data!E168</f>
        <v>SMB</v>
      </c>
      <c r="F168" s="48" t="str">
        <f>Raw_Data!F168</f>
        <v>Direct</v>
      </c>
      <c r="G168" s="50">
        <f>Raw_Data!G168</f>
        <v>126</v>
      </c>
      <c r="H168" s="50">
        <f>Raw_Data!H168</f>
        <v>179.86</v>
      </c>
      <c r="I168" s="50">
        <f>Raw_Data!I168</f>
        <v>22662.36</v>
      </c>
      <c r="J168" s="50">
        <f>Raw_Data!J168</f>
        <v>10542.5</v>
      </c>
      <c r="K168" s="48" t="str">
        <f t="shared" si="8"/>
        <v>2025-05</v>
      </c>
      <c r="L168" s="48" t="str">
        <f t="shared" si="9"/>
        <v>Q2-2025</v>
      </c>
      <c r="M168" s="50">
        <f t="shared" si="10"/>
        <v>12119.86</v>
      </c>
      <c r="N168" s="51">
        <f t="shared" si="11"/>
        <v>0.53480131813279819</v>
      </c>
    </row>
    <row r="169" spans="1:14" ht="15">
      <c r="A169" s="48">
        <f>Raw_Data!A169</f>
        <v>168</v>
      </c>
      <c r="B169" s="49">
        <f>Raw_Data!B169</f>
        <v>45798</v>
      </c>
      <c r="C169" s="48" t="str">
        <f>Raw_Data!C169</f>
        <v>EU</v>
      </c>
      <c r="D169" s="48" t="str">
        <f>Raw_Data!D169</f>
        <v>Training</v>
      </c>
      <c r="E169" s="48" t="str">
        <f>Raw_Data!E169</f>
        <v>SMB</v>
      </c>
      <c r="F169" s="48" t="str">
        <f>Raw_Data!F169</f>
        <v>Online</v>
      </c>
      <c r="G169" s="50">
        <f>Raw_Data!G169</f>
        <v>58</v>
      </c>
      <c r="H169" s="50">
        <f>Raw_Data!H169</f>
        <v>175</v>
      </c>
      <c r="I169" s="50">
        <f>Raw_Data!I169</f>
        <v>10150</v>
      </c>
      <c r="J169" s="50">
        <f>Raw_Data!J169</f>
        <v>4585.25</v>
      </c>
      <c r="K169" s="48" t="str">
        <f t="shared" si="8"/>
        <v>2025-05</v>
      </c>
      <c r="L169" s="48" t="str">
        <f t="shared" si="9"/>
        <v>Q2-2025</v>
      </c>
      <c r="M169" s="50">
        <f t="shared" si="10"/>
        <v>5564.75</v>
      </c>
      <c r="N169" s="51">
        <f t="shared" si="11"/>
        <v>0.54825123152709354</v>
      </c>
    </row>
    <row r="170" spans="1:14" ht="15">
      <c r="A170" s="48">
        <f>Raw_Data!A170</f>
        <v>169</v>
      </c>
      <c r="B170" s="49">
        <f>Raw_Data!B170</f>
        <v>45799</v>
      </c>
      <c r="C170" s="48" t="str">
        <f>Raw_Data!C170</f>
        <v>EU</v>
      </c>
      <c r="D170" s="48" t="str">
        <f>Raw_Data!D170</f>
        <v>Hardware</v>
      </c>
      <c r="E170" s="48" t="str">
        <f>Raw_Data!E170</f>
        <v>Mid-Market</v>
      </c>
      <c r="F170" s="48" t="str">
        <f>Raw_Data!F170</f>
        <v>Online</v>
      </c>
      <c r="G170" s="50">
        <f>Raw_Data!G170</f>
        <v>22</v>
      </c>
      <c r="H170" s="50">
        <f>Raw_Data!H170</f>
        <v>555.94000000000005</v>
      </c>
      <c r="I170" s="50">
        <f>Raw_Data!I170</f>
        <v>12230.68</v>
      </c>
      <c r="J170" s="50">
        <f>Raw_Data!J170</f>
        <v>8059.97</v>
      </c>
      <c r="K170" s="48" t="str">
        <f t="shared" si="8"/>
        <v>2025-05</v>
      </c>
      <c r="L170" s="48" t="str">
        <f t="shared" si="9"/>
        <v>Q2-2025</v>
      </c>
      <c r="M170" s="50">
        <f t="shared" si="10"/>
        <v>4170.71</v>
      </c>
      <c r="N170" s="51">
        <f t="shared" si="11"/>
        <v>0.34100393436832621</v>
      </c>
    </row>
    <row r="171" spans="1:14" ht="15">
      <c r="A171" s="48">
        <f>Raw_Data!A171</f>
        <v>170</v>
      </c>
      <c r="B171" s="49">
        <f>Raw_Data!B171</f>
        <v>45802</v>
      </c>
      <c r="C171" s="48" t="str">
        <f>Raw_Data!C171</f>
        <v>UK</v>
      </c>
      <c r="D171" s="48" t="str">
        <f>Raw_Data!D171</f>
        <v>Software</v>
      </c>
      <c r="E171" s="48" t="str">
        <f>Raw_Data!E171</f>
        <v>SMB</v>
      </c>
      <c r="F171" s="48" t="str">
        <f>Raw_Data!F171</f>
        <v>Online</v>
      </c>
      <c r="G171" s="50">
        <f>Raw_Data!G171</f>
        <v>210</v>
      </c>
      <c r="H171" s="50">
        <f>Raw_Data!H171</f>
        <v>379.47</v>
      </c>
      <c r="I171" s="50">
        <f>Raw_Data!I171</f>
        <v>79688.7</v>
      </c>
      <c r="J171" s="50">
        <f>Raw_Data!J171</f>
        <v>35313.370000000003</v>
      </c>
      <c r="K171" s="48" t="str">
        <f t="shared" si="8"/>
        <v>2025-05</v>
      </c>
      <c r="L171" s="48" t="str">
        <f t="shared" si="9"/>
        <v>Q2-2025</v>
      </c>
      <c r="M171" s="50">
        <f t="shared" si="10"/>
        <v>44375.329999999994</v>
      </c>
      <c r="N171" s="51">
        <f t="shared" si="11"/>
        <v>0.5568585006406177</v>
      </c>
    </row>
    <row r="172" spans="1:14" ht="15">
      <c r="A172" s="48">
        <f>Raw_Data!A172</f>
        <v>171</v>
      </c>
      <c r="B172" s="49">
        <f>Raw_Data!B172</f>
        <v>45809</v>
      </c>
      <c r="C172" s="48" t="str">
        <f>Raw_Data!C172</f>
        <v>UK</v>
      </c>
      <c r="D172" s="48" t="str">
        <f>Raw_Data!D172</f>
        <v>Training</v>
      </c>
      <c r="E172" s="48" t="str">
        <f>Raw_Data!E172</f>
        <v>SMB</v>
      </c>
      <c r="F172" s="48" t="str">
        <f>Raw_Data!F172</f>
        <v>Direct</v>
      </c>
      <c r="G172" s="50">
        <f>Raw_Data!G172</f>
        <v>67</v>
      </c>
      <c r="H172" s="50">
        <f>Raw_Data!H172</f>
        <v>156.51</v>
      </c>
      <c r="I172" s="50">
        <f>Raw_Data!I172</f>
        <v>10486.17</v>
      </c>
      <c r="J172" s="50">
        <f>Raw_Data!J172</f>
        <v>4741.8599999999997</v>
      </c>
      <c r="K172" s="48" t="str">
        <f t="shared" si="8"/>
        <v>2025-06</v>
      </c>
      <c r="L172" s="48" t="str">
        <f t="shared" si="9"/>
        <v>Q2-2025</v>
      </c>
      <c r="M172" s="50">
        <f t="shared" si="10"/>
        <v>5744.31</v>
      </c>
      <c r="N172" s="51">
        <f t="shared" si="11"/>
        <v>0.54779867196507404</v>
      </c>
    </row>
    <row r="173" spans="1:14" ht="15">
      <c r="A173" s="48">
        <f>Raw_Data!A173</f>
        <v>172</v>
      </c>
      <c r="B173" s="49">
        <f>Raw_Data!B173</f>
        <v>45808</v>
      </c>
      <c r="C173" s="48" t="str">
        <f>Raw_Data!C173</f>
        <v>US</v>
      </c>
      <c r="D173" s="48" t="str">
        <f>Raw_Data!D173</f>
        <v>Training</v>
      </c>
      <c r="E173" s="48" t="str">
        <f>Raw_Data!E173</f>
        <v>SMB</v>
      </c>
      <c r="F173" s="48" t="str">
        <f>Raw_Data!F173</f>
        <v>Direct</v>
      </c>
      <c r="G173" s="50">
        <f>Raw_Data!G173</f>
        <v>40</v>
      </c>
      <c r="H173" s="50">
        <f>Raw_Data!H173</f>
        <v>215.7</v>
      </c>
      <c r="I173" s="50">
        <f>Raw_Data!I173</f>
        <v>8628</v>
      </c>
      <c r="J173" s="50">
        <f>Raw_Data!J173</f>
        <v>4245.07</v>
      </c>
      <c r="K173" s="48" t="str">
        <f t="shared" si="8"/>
        <v>2025-05</v>
      </c>
      <c r="L173" s="48" t="str">
        <f t="shared" si="9"/>
        <v>Q2-2025</v>
      </c>
      <c r="M173" s="50">
        <f t="shared" si="10"/>
        <v>4382.93</v>
      </c>
      <c r="N173" s="51">
        <f t="shared" si="11"/>
        <v>0.50798910523875762</v>
      </c>
    </row>
    <row r="174" spans="1:14" ht="15">
      <c r="A174" s="48">
        <f>Raw_Data!A174</f>
        <v>173</v>
      </c>
      <c r="B174" s="49">
        <f>Raw_Data!B174</f>
        <v>45813</v>
      </c>
      <c r="C174" s="48" t="str">
        <f>Raw_Data!C174</f>
        <v>US</v>
      </c>
      <c r="D174" s="48" t="str">
        <f>Raw_Data!D174</f>
        <v>Hardware</v>
      </c>
      <c r="E174" s="48" t="str">
        <f>Raw_Data!E174</f>
        <v>Public Sector</v>
      </c>
      <c r="F174" s="48" t="str">
        <f>Raw_Data!F174</f>
        <v>Partner</v>
      </c>
      <c r="G174" s="50">
        <f>Raw_Data!G174</f>
        <v>20</v>
      </c>
      <c r="H174" s="50">
        <f>Raw_Data!H174</f>
        <v>638.55999999999995</v>
      </c>
      <c r="I174" s="50">
        <f>Raw_Data!I174</f>
        <v>12771.2</v>
      </c>
      <c r="J174" s="50">
        <f>Raw_Data!J174</f>
        <v>9073.3799999999992</v>
      </c>
      <c r="K174" s="48" t="str">
        <f t="shared" si="8"/>
        <v>2025-06</v>
      </c>
      <c r="L174" s="48" t="str">
        <f t="shared" si="9"/>
        <v>Q2-2025</v>
      </c>
      <c r="M174" s="50">
        <f t="shared" si="10"/>
        <v>3697.8200000000015</v>
      </c>
      <c r="N174" s="51">
        <f t="shared" si="11"/>
        <v>0.2895436607366576</v>
      </c>
    </row>
    <row r="175" spans="1:14" ht="15">
      <c r="A175" s="48">
        <f>Raw_Data!A175</f>
        <v>174</v>
      </c>
      <c r="B175" s="49">
        <f>Raw_Data!B175</f>
        <v>45814</v>
      </c>
      <c r="C175" s="48" t="str">
        <f>Raw_Data!C175</f>
        <v>US</v>
      </c>
      <c r="D175" s="48" t="str">
        <f>Raw_Data!D175</f>
        <v>Hardware</v>
      </c>
      <c r="E175" s="48" t="str">
        <f>Raw_Data!E175</f>
        <v>Public Sector</v>
      </c>
      <c r="F175" s="48" t="str">
        <f>Raw_Data!F175</f>
        <v>Partner</v>
      </c>
      <c r="G175" s="50">
        <f>Raw_Data!G175</f>
        <v>173</v>
      </c>
      <c r="H175" s="50">
        <f>Raw_Data!H175</f>
        <v>652.77</v>
      </c>
      <c r="I175" s="50">
        <f>Raw_Data!I175</f>
        <v>112929.21</v>
      </c>
      <c r="J175" s="50">
        <f>Raw_Data!J175</f>
        <v>79195.97</v>
      </c>
      <c r="K175" s="48" t="str">
        <f t="shared" si="8"/>
        <v>2025-06</v>
      </c>
      <c r="L175" s="48" t="str">
        <f t="shared" si="9"/>
        <v>Q2-2025</v>
      </c>
      <c r="M175" s="50">
        <f t="shared" si="10"/>
        <v>33733.240000000005</v>
      </c>
      <c r="N175" s="51">
        <f t="shared" si="11"/>
        <v>0.29871137857069929</v>
      </c>
    </row>
    <row r="176" spans="1:14" ht="15">
      <c r="A176" s="48">
        <f>Raw_Data!A176</f>
        <v>175</v>
      </c>
      <c r="B176" s="49">
        <f>Raw_Data!B176</f>
        <v>45817</v>
      </c>
      <c r="C176" s="48" t="str">
        <f>Raw_Data!C176</f>
        <v>APAC</v>
      </c>
      <c r="D176" s="48" t="str">
        <f>Raw_Data!D176</f>
        <v>Software</v>
      </c>
      <c r="E176" s="48" t="str">
        <f>Raw_Data!E176</f>
        <v>Enterprise</v>
      </c>
      <c r="F176" s="48" t="str">
        <f>Raw_Data!F176</f>
        <v>Partner</v>
      </c>
      <c r="G176" s="50">
        <f>Raw_Data!G176</f>
        <v>195</v>
      </c>
      <c r="H176" s="50">
        <f>Raw_Data!H176</f>
        <v>473.28</v>
      </c>
      <c r="I176" s="50">
        <f>Raw_Data!I176</f>
        <v>92289.600000000006</v>
      </c>
      <c r="J176" s="50">
        <f>Raw_Data!J176</f>
        <v>39388.86</v>
      </c>
      <c r="K176" s="48" t="str">
        <f t="shared" si="8"/>
        <v>2025-06</v>
      </c>
      <c r="L176" s="48" t="str">
        <f t="shared" si="9"/>
        <v>Q2-2025</v>
      </c>
      <c r="M176" s="50">
        <f t="shared" si="10"/>
        <v>52900.740000000005</v>
      </c>
      <c r="N176" s="51">
        <f t="shared" si="11"/>
        <v>0.57320369792479331</v>
      </c>
    </row>
    <row r="177" spans="1:14" ht="15">
      <c r="A177" s="48">
        <f>Raw_Data!A177</f>
        <v>176</v>
      </c>
      <c r="B177" s="49">
        <f>Raw_Data!B177</f>
        <v>45820</v>
      </c>
      <c r="C177" s="48" t="str">
        <f>Raw_Data!C177</f>
        <v>US</v>
      </c>
      <c r="D177" s="48" t="str">
        <f>Raw_Data!D177</f>
        <v>Services</v>
      </c>
      <c r="E177" s="48" t="str">
        <f>Raw_Data!E177</f>
        <v>Public Sector</v>
      </c>
      <c r="F177" s="48" t="str">
        <f>Raw_Data!F177</f>
        <v>Direct</v>
      </c>
      <c r="G177" s="50">
        <f>Raw_Data!G177</f>
        <v>149</v>
      </c>
      <c r="H177" s="50">
        <f>Raw_Data!H177</f>
        <v>380.68</v>
      </c>
      <c r="I177" s="50">
        <f>Raw_Data!I177</f>
        <v>56721.32</v>
      </c>
      <c r="J177" s="50">
        <f>Raw_Data!J177</f>
        <v>32305.16</v>
      </c>
      <c r="K177" s="48" t="str">
        <f t="shared" si="8"/>
        <v>2025-06</v>
      </c>
      <c r="L177" s="48" t="str">
        <f t="shared" si="9"/>
        <v>Q2-2025</v>
      </c>
      <c r="M177" s="50">
        <f t="shared" si="10"/>
        <v>24416.16</v>
      </c>
      <c r="N177" s="51">
        <f t="shared" si="11"/>
        <v>0.43045824744558131</v>
      </c>
    </row>
    <row r="178" spans="1:14" ht="15">
      <c r="A178" s="48">
        <f>Raw_Data!A178</f>
        <v>177</v>
      </c>
      <c r="B178" s="49">
        <f>Raw_Data!B178</f>
        <v>45823</v>
      </c>
      <c r="C178" s="48" t="str">
        <f>Raw_Data!C178</f>
        <v>UK</v>
      </c>
      <c r="D178" s="48" t="str">
        <f>Raw_Data!D178</f>
        <v>Hardware</v>
      </c>
      <c r="E178" s="48" t="str">
        <f>Raw_Data!E178</f>
        <v>Public Sector</v>
      </c>
      <c r="F178" s="48" t="str">
        <f>Raw_Data!F178</f>
        <v>Direct</v>
      </c>
      <c r="G178" s="50">
        <f>Raw_Data!G178</f>
        <v>140</v>
      </c>
      <c r="H178" s="50">
        <f>Raw_Data!H178</f>
        <v>552.73</v>
      </c>
      <c r="I178" s="50">
        <f>Raw_Data!I178</f>
        <v>77382.2</v>
      </c>
      <c r="J178" s="50">
        <f>Raw_Data!J178</f>
        <v>54449.760000000002</v>
      </c>
      <c r="K178" s="48" t="str">
        <f t="shared" si="8"/>
        <v>2025-06</v>
      </c>
      <c r="L178" s="48" t="str">
        <f t="shared" si="9"/>
        <v>Q2-2025</v>
      </c>
      <c r="M178" s="50">
        <f t="shared" si="10"/>
        <v>22932.439999999995</v>
      </c>
      <c r="N178" s="51">
        <f t="shared" si="11"/>
        <v>0.29635290803311348</v>
      </c>
    </row>
    <row r="179" spans="1:14" ht="15">
      <c r="A179" s="48">
        <f>Raw_Data!A179</f>
        <v>178</v>
      </c>
      <c r="B179" s="49">
        <f>Raw_Data!B179</f>
        <v>45829</v>
      </c>
      <c r="C179" s="48" t="str">
        <f>Raw_Data!C179</f>
        <v>US</v>
      </c>
      <c r="D179" s="48" t="str">
        <f>Raw_Data!D179</f>
        <v>Hardware</v>
      </c>
      <c r="E179" s="48" t="str">
        <f>Raw_Data!E179</f>
        <v>Mid-Market</v>
      </c>
      <c r="F179" s="48" t="str">
        <f>Raw_Data!F179</f>
        <v>Partner</v>
      </c>
      <c r="G179" s="50">
        <f>Raw_Data!G179</f>
        <v>69</v>
      </c>
      <c r="H179" s="50">
        <f>Raw_Data!H179</f>
        <v>617.58000000000004</v>
      </c>
      <c r="I179" s="50">
        <f>Raw_Data!I179</f>
        <v>42613.02</v>
      </c>
      <c r="J179" s="50">
        <f>Raw_Data!J179</f>
        <v>28339.759999999998</v>
      </c>
      <c r="K179" s="48" t="str">
        <f t="shared" si="8"/>
        <v>2025-06</v>
      </c>
      <c r="L179" s="48" t="str">
        <f t="shared" si="9"/>
        <v>Q2-2025</v>
      </c>
      <c r="M179" s="50">
        <f t="shared" si="10"/>
        <v>14273.259999999998</v>
      </c>
      <c r="N179" s="51">
        <f t="shared" si="11"/>
        <v>0.33495067939329337</v>
      </c>
    </row>
    <row r="180" spans="1:14" ht="15">
      <c r="A180" s="48">
        <f>Raw_Data!A180</f>
        <v>179</v>
      </c>
      <c r="B180" s="49">
        <f>Raw_Data!B180</f>
        <v>45830</v>
      </c>
      <c r="C180" s="48" t="str">
        <f>Raw_Data!C180</f>
        <v>UK</v>
      </c>
      <c r="D180" s="48" t="str">
        <f>Raw_Data!D180</f>
        <v>Software</v>
      </c>
      <c r="E180" s="48" t="str">
        <f>Raw_Data!E180</f>
        <v>Public Sector</v>
      </c>
      <c r="F180" s="48" t="str">
        <f>Raw_Data!F180</f>
        <v>Online</v>
      </c>
      <c r="G180" s="50">
        <f>Raw_Data!G180</f>
        <v>158</v>
      </c>
      <c r="H180" s="50">
        <f>Raw_Data!H180</f>
        <v>459.73</v>
      </c>
      <c r="I180" s="50">
        <f>Raw_Data!I180</f>
        <v>72637.34</v>
      </c>
      <c r="J180" s="50">
        <f>Raw_Data!J180</f>
        <v>31293.3</v>
      </c>
      <c r="K180" s="48" t="str">
        <f t="shared" si="8"/>
        <v>2025-06</v>
      </c>
      <c r="L180" s="48" t="str">
        <f t="shared" si="9"/>
        <v>Q2-2025</v>
      </c>
      <c r="M180" s="50">
        <f t="shared" si="10"/>
        <v>41344.039999999994</v>
      </c>
      <c r="N180" s="51">
        <f t="shared" si="11"/>
        <v>0.56918438918605774</v>
      </c>
    </row>
    <row r="181" spans="1:14" ht="15">
      <c r="A181" s="48">
        <f>Raw_Data!A181</f>
        <v>180</v>
      </c>
      <c r="B181" s="49">
        <f>Raw_Data!B181</f>
        <v>45834</v>
      </c>
      <c r="C181" s="48" t="str">
        <f>Raw_Data!C181</f>
        <v>UK</v>
      </c>
      <c r="D181" s="48" t="str">
        <f>Raw_Data!D181</f>
        <v>Training</v>
      </c>
      <c r="E181" s="48" t="str">
        <f>Raw_Data!E181</f>
        <v>Public Sector</v>
      </c>
      <c r="F181" s="48" t="str">
        <f>Raw_Data!F181</f>
        <v>Online</v>
      </c>
      <c r="G181" s="50">
        <f>Raw_Data!G181</f>
        <v>37</v>
      </c>
      <c r="H181" s="50">
        <f>Raw_Data!H181</f>
        <v>200.5</v>
      </c>
      <c r="I181" s="50">
        <f>Raw_Data!I181</f>
        <v>7418.5</v>
      </c>
      <c r="J181" s="50">
        <f>Raw_Data!J181</f>
        <v>3649.76</v>
      </c>
      <c r="K181" s="48" t="str">
        <f t="shared" si="8"/>
        <v>2025-06</v>
      </c>
      <c r="L181" s="48" t="str">
        <f t="shared" si="9"/>
        <v>Q2-2025</v>
      </c>
      <c r="M181" s="50">
        <f t="shared" si="10"/>
        <v>3768.74</v>
      </c>
      <c r="N181" s="51">
        <f t="shared" si="11"/>
        <v>0.50801914133584958</v>
      </c>
    </row>
    <row r="182" spans="1:14" ht="15">
      <c r="A182" s="48">
        <f>Raw_Data!A182</f>
        <v>181</v>
      </c>
      <c r="B182" s="49">
        <f>Raw_Data!B182</f>
        <v>45837</v>
      </c>
      <c r="C182" s="48" t="str">
        <f>Raw_Data!C182</f>
        <v>EU</v>
      </c>
      <c r="D182" s="48" t="str">
        <f>Raw_Data!D182</f>
        <v>Hardware</v>
      </c>
      <c r="E182" s="48" t="str">
        <f>Raw_Data!E182</f>
        <v>Enterprise</v>
      </c>
      <c r="F182" s="48" t="str">
        <f>Raw_Data!F182</f>
        <v>Partner</v>
      </c>
      <c r="G182" s="50">
        <f>Raw_Data!G182</f>
        <v>154</v>
      </c>
      <c r="H182" s="50">
        <f>Raw_Data!H182</f>
        <v>683.03</v>
      </c>
      <c r="I182" s="50">
        <f>Raw_Data!I182</f>
        <v>105186.62</v>
      </c>
      <c r="J182" s="50">
        <f>Raw_Data!J182</f>
        <v>70964.66</v>
      </c>
      <c r="K182" s="48" t="str">
        <f t="shared" si="8"/>
        <v>2025-06</v>
      </c>
      <c r="L182" s="48" t="str">
        <f t="shared" si="9"/>
        <v>Q2-2025</v>
      </c>
      <c r="M182" s="50">
        <f t="shared" si="10"/>
        <v>34221.959999999992</v>
      </c>
      <c r="N182" s="51">
        <f t="shared" si="11"/>
        <v>0.32534518173509136</v>
      </c>
    </row>
    <row r="183" spans="1:14" ht="15">
      <c r="A183" s="48">
        <f>Raw_Data!A183</f>
        <v>182</v>
      </c>
      <c r="B183" s="49">
        <f>Raw_Data!B183</f>
        <v>45839</v>
      </c>
      <c r="C183" s="48" t="str">
        <f>Raw_Data!C183</f>
        <v>APAC</v>
      </c>
      <c r="D183" s="48" t="str">
        <f>Raw_Data!D183</f>
        <v>Services</v>
      </c>
      <c r="E183" s="48" t="str">
        <f>Raw_Data!E183</f>
        <v>SMB</v>
      </c>
      <c r="F183" s="48" t="str">
        <f>Raw_Data!F183</f>
        <v>Partner</v>
      </c>
      <c r="G183" s="50">
        <f>Raw_Data!G183</f>
        <v>163</v>
      </c>
      <c r="H183" s="50">
        <f>Raw_Data!H183</f>
        <v>239.93</v>
      </c>
      <c r="I183" s="50">
        <f>Raw_Data!I183</f>
        <v>39108.589999999997</v>
      </c>
      <c r="J183" s="50">
        <f>Raw_Data!J183</f>
        <v>20731.32</v>
      </c>
      <c r="K183" s="48" t="str">
        <f t="shared" si="8"/>
        <v>2025-07</v>
      </c>
      <c r="L183" s="48" t="str">
        <f t="shared" si="9"/>
        <v>Q3-2025</v>
      </c>
      <c r="M183" s="50">
        <f t="shared" si="10"/>
        <v>18377.269999999997</v>
      </c>
      <c r="N183" s="51">
        <f t="shared" si="11"/>
        <v>0.46990367077923284</v>
      </c>
    </row>
    <row r="184" spans="1:14" ht="15">
      <c r="A184" s="48">
        <f>Raw_Data!A184</f>
        <v>183</v>
      </c>
      <c r="B184" s="49">
        <f>Raw_Data!B184</f>
        <v>45844</v>
      </c>
      <c r="C184" s="48" t="str">
        <f>Raw_Data!C184</f>
        <v>US</v>
      </c>
      <c r="D184" s="48" t="str">
        <f>Raw_Data!D184</f>
        <v>Services</v>
      </c>
      <c r="E184" s="48" t="str">
        <f>Raw_Data!E184</f>
        <v>Public Sector</v>
      </c>
      <c r="F184" s="48" t="str">
        <f>Raw_Data!F184</f>
        <v>Partner</v>
      </c>
      <c r="G184" s="50">
        <f>Raw_Data!G184</f>
        <v>191</v>
      </c>
      <c r="H184" s="50">
        <f>Raw_Data!H184</f>
        <v>385.59</v>
      </c>
      <c r="I184" s="50">
        <f>Raw_Data!I184</f>
        <v>73647.69</v>
      </c>
      <c r="J184" s="50">
        <f>Raw_Data!J184</f>
        <v>41069.339999999997</v>
      </c>
      <c r="K184" s="48" t="str">
        <f t="shared" si="8"/>
        <v>2025-07</v>
      </c>
      <c r="L184" s="48" t="str">
        <f t="shared" si="9"/>
        <v>Q3-2025</v>
      </c>
      <c r="M184" s="50">
        <f t="shared" si="10"/>
        <v>32578.350000000006</v>
      </c>
      <c r="N184" s="51">
        <f t="shared" si="11"/>
        <v>0.44235399643899226</v>
      </c>
    </row>
    <row r="185" spans="1:14" ht="15">
      <c r="A185" s="48">
        <f>Raw_Data!A185</f>
        <v>184</v>
      </c>
      <c r="B185" s="49">
        <f>Raw_Data!B185</f>
        <v>45845</v>
      </c>
      <c r="C185" s="48" t="str">
        <f>Raw_Data!C185</f>
        <v>US</v>
      </c>
      <c r="D185" s="48" t="str">
        <f>Raw_Data!D185</f>
        <v>Training</v>
      </c>
      <c r="E185" s="48" t="str">
        <f>Raw_Data!E185</f>
        <v>Mid-Market</v>
      </c>
      <c r="F185" s="48" t="str">
        <f>Raw_Data!F185</f>
        <v>Online</v>
      </c>
      <c r="G185" s="50">
        <f>Raw_Data!G185</f>
        <v>64</v>
      </c>
      <c r="H185" s="50">
        <f>Raw_Data!H185</f>
        <v>206.86</v>
      </c>
      <c r="I185" s="50">
        <f>Raw_Data!I185</f>
        <v>13239.04</v>
      </c>
      <c r="J185" s="50">
        <f>Raw_Data!J185</f>
        <v>6607.05</v>
      </c>
      <c r="K185" s="48" t="str">
        <f t="shared" si="8"/>
        <v>2025-07</v>
      </c>
      <c r="L185" s="48" t="str">
        <f t="shared" si="9"/>
        <v>Q3-2025</v>
      </c>
      <c r="M185" s="50">
        <f t="shared" si="10"/>
        <v>6631.9900000000007</v>
      </c>
      <c r="N185" s="51">
        <f t="shared" si="11"/>
        <v>0.50094191119597797</v>
      </c>
    </row>
    <row r="186" spans="1:14" ht="15">
      <c r="A186" s="48">
        <f>Raw_Data!A186</f>
        <v>185</v>
      </c>
      <c r="B186" s="49">
        <f>Raw_Data!B186</f>
        <v>45851</v>
      </c>
      <c r="C186" s="48" t="str">
        <f>Raw_Data!C186</f>
        <v>EU</v>
      </c>
      <c r="D186" s="48" t="str">
        <f>Raw_Data!D186</f>
        <v>Services</v>
      </c>
      <c r="E186" s="48" t="str">
        <f>Raw_Data!E186</f>
        <v>Mid-Market</v>
      </c>
      <c r="F186" s="48" t="str">
        <f>Raw_Data!F186</f>
        <v>Online</v>
      </c>
      <c r="G186" s="50">
        <f>Raw_Data!G186</f>
        <v>98</v>
      </c>
      <c r="H186" s="50">
        <f>Raw_Data!H186</f>
        <v>325.11</v>
      </c>
      <c r="I186" s="50">
        <f>Raw_Data!I186</f>
        <v>31860.78</v>
      </c>
      <c r="J186" s="50">
        <f>Raw_Data!J186</f>
        <v>17289.61</v>
      </c>
      <c r="K186" s="48" t="str">
        <f t="shared" si="8"/>
        <v>2025-07</v>
      </c>
      <c r="L186" s="48" t="str">
        <f t="shared" si="9"/>
        <v>Q3-2025</v>
      </c>
      <c r="M186" s="50">
        <f t="shared" si="10"/>
        <v>14571.169999999998</v>
      </c>
      <c r="N186" s="51">
        <f t="shared" si="11"/>
        <v>0.4573387719949103</v>
      </c>
    </row>
    <row r="187" spans="1:14" ht="15">
      <c r="A187" s="48">
        <f>Raw_Data!A187</f>
        <v>186</v>
      </c>
      <c r="B187" s="49">
        <f>Raw_Data!B187</f>
        <v>45851</v>
      </c>
      <c r="C187" s="48" t="str">
        <f>Raw_Data!C187</f>
        <v>US</v>
      </c>
      <c r="D187" s="48" t="str">
        <f>Raw_Data!D187</f>
        <v>Services</v>
      </c>
      <c r="E187" s="48" t="str">
        <f>Raw_Data!E187</f>
        <v>Enterprise</v>
      </c>
      <c r="F187" s="48" t="str">
        <f>Raw_Data!F187</f>
        <v>Online</v>
      </c>
      <c r="G187" s="50">
        <f>Raw_Data!G187</f>
        <v>41</v>
      </c>
      <c r="H187" s="50">
        <f>Raw_Data!H187</f>
        <v>423.37</v>
      </c>
      <c r="I187" s="50">
        <f>Raw_Data!I187</f>
        <v>17358.169999999998</v>
      </c>
      <c r="J187" s="50">
        <f>Raw_Data!J187</f>
        <v>9768.5400000000009</v>
      </c>
      <c r="K187" s="48" t="str">
        <f t="shared" si="8"/>
        <v>2025-07</v>
      </c>
      <c r="L187" s="48" t="str">
        <f t="shared" si="9"/>
        <v>Q3-2025</v>
      </c>
      <c r="M187" s="50">
        <f t="shared" si="10"/>
        <v>7589.6299999999974</v>
      </c>
      <c r="N187" s="51">
        <f t="shared" si="11"/>
        <v>0.43723675940493717</v>
      </c>
    </row>
    <row r="188" spans="1:14" ht="15">
      <c r="A188" s="48">
        <f>Raw_Data!A188</f>
        <v>187</v>
      </c>
      <c r="B188" s="49">
        <f>Raw_Data!B188</f>
        <v>45854</v>
      </c>
      <c r="C188" s="48" t="str">
        <f>Raw_Data!C188</f>
        <v>APAC</v>
      </c>
      <c r="D188" s="48" t="str">
        <f>Raw_Data!D188</f>
        <v>Services</v>
      </c>
      <c r="E188" s="48" t="str">
        <f>Raw_Data!E188</f>
        <v>Mid-Market</v>
      </c>
      <c r="F188" s="48" t="str">
        <f>Raw_Data!F188</f>
        <v>Partner</v>
      </c>
      <c r="G188" s="50">
        <f>Raw_Data!G188</f>
        <v>202</v>
      </c>
      <c r="H188" s="50">
        <f>Raw_Data!H188</f>
        <v>272.45</v>
      </c>
      <c r="I188" s="50">
        <f>Raw_Data!I188</f>
        <v>55034.9</v>
      </c>
      <c r="J188" s="50">
        <f>Raw_Data!J188</f>
        <v>29597.68</v>
      </c>
      <c r="K188" s="48" t="str">
        <f t="shared" si="8"/>
        <v>2025-07</v>
      </c>
      <c r="L188" s="48" t="str">
        <f t="shared" si="9"/>
        <v>Q3-2025</v>
      </c>
      <c r="M188" s="50">
        <f t="shared" si="10"/>
        <v>25437.22</v>
      </c>
      <c r="N188" s="51">
        <f t="shared" si="11"/>
        <v>0.46220162115312285</v>
      </c>
    </row>
    <row r="189" spans="1:14" ht="15">
      <c r="A189" s="48">
        <f>Raw_Data!A189</f>
        <v>188</v>
      </c>
      <c r="B189" s="49">
        <f>Raw_Data!B189</f>
        <v>45856</v>
      </c>
      <c r="C189" s="48" t="str">
        <f>Raw_Data!C189</f>
        <v>UK</v>
      </c>
      <c r="D189" s="48" t="str">
        <f>Raw_Data!D189</f>
        <v>Hardware</v>
      </c>
      <c r="E189" s="48" t="str">
        <f>Raw_Data!E189</f>
        <v>Mid-Market</v>
      </c>
      <c r="F189" s="48" t="str">
        <f>Raw_Data!F189</f>
        <v>Partner</v>
      </c>
      <c r="G189" s="50">
        <f>Raw_Data!G189</f>
        <v>133</v>
      </c>
      <c r="H189" s="50">
        <f>Raw_Data!H189</f>
        <v>472.82</v>
      </c>
      <c r="I189" s="50">
        <f>Raw_Data!I189</f>
        <v>62885.06</v>
      </c>
      <c r="J189" s="50">
        <f>Raw_Data!J189</f>
        <v>42506.3</v>
      </c>
      <c r="K189" s="48" t="str">
        <f t="shared" si="8"/>
        <v>2025-07</v>
      </c>
      <c r="L189" s="48" t="str">
        <f t="shared" si="9"/>
        <v>Q3-2025</v>
      </c>
      <c r="M189" s="50">
        <f t="shared" si="10"/>
        <v>20378.759999999995</v>
      </c>
      <c r="N189" s="51">
        <f t="shared" si="11"/>
        <v>0.32406361701809611</v>
      </c>
    </row>
    <row r="190" spans="1:14" ht="15">
      <c r="A190" s="48">
        <f>Raw_Data!A190</f>
        <v>189</v>
      </c>
      <c r="B190" s="49">
        <f>Raw_Data!B190</f>
        <v>45862</v>
      </c>
      <c r="C190" s="48" t="str">
        <f>Raw_Data!C190</f>
        <v>EU</v>
      </c>
      <c r="D190" s="48" t="str">
        <f>Raw_Data!D190</f>
        <v>Hardware</v>
      </c>
      <c r="E190" s="48" t="str">
        <f>Raw_Data!E190</f>
        <v>Public Sector</v>
      </c>
      <c r="F190" s="48" t="str">
        <f>Raw_Data!F190</f>
        <v>Direct</v>
      </c>
      <c r="G190" s="50">
        <f>Raw_Data!G190</f>
        <v>51</v>
      </c>
      <c r="H190" s="50">
        <f>Raw_Data!H190</f>
        <v>557.04</v>
      </c>
      <c r="I190" s="50">
        <f>Raw_Data!I190</f>
        <v>28409.040000000001</v>
      </c>
      <c r="J190" s="50">
        <f>Raw_Data!J190</f>
        <v>19829.099999999999</v>
      </c>
      <c r="K190" s="48" t="str">
        <f t="shared" si="8"/>
        <v>2025-07</v>
      </c>
      <c r="L190" s="48" t="str">
        <f t="shared" si="9"/>
        <v>Q3-2025</v>
      </c>
      <c r="M190" s="50">
        <f t="shared" si="10"/>
        <v>8579.9400000000023</v>
      </c>
      <c r="N190" s="51">
        <f t="shared" si="11"/>
        <v>0.30201442920985722</v>
      </c>
    </row>
    <row r="191" spans="1:14" ht="15">
      <c r="A191" s="48">
        <f>Raw_Data!A191</f>
        <v>190</v>
      </c>
      <c r="B191" s="49">
        <f>Raw_Data!B191</f>
        <v>45862</v>
      </c>
      <c r="C191" s="48" t="str">
        <f>Raw_Data!C191</f>
        <v>EU</v>
      </c>
      <c r="D191" s="48" t="str">
        <f>Raw_Data!D191</f>
        <v>Training</v>
      </c>
      <c r="E191" s="48" t="str">
        <f>Raw_Data!E191</f>
        <v>Public Sector</v>
      </c>
      <c r="F191" s="48" t="str">
        <f>Raw_Data!F191</f>
        <v>Direct</v>
      </c>
      <c r="G191" s="50">
        <f>Raw_Data!G191</f>
        <v>185</v>
      </c>
      <c r="H191" s="50">
        <f>Raw_Data!H191</f>
        <v>218.78</v>
      </c>
      <c r="I191" s="50">
        <f>Raw_Data!I191</f>
        <v>40474.300000000003</v>
      </c>
      <c r="J191" s="50">
        <f>Raw_Data!J191</f>
        <v>20528.77</v>
      </c>
      <c r="K191" s="48" t="str">
        <f t="shared" si="8"/>
        <v>2025-07</v>
      </c>
      <c r="L191" s="48" t="str">
        <f t="shared" si="9"/>
        <v>Q3-2025</v>
      </c>
      <c r="M191" s="50">
        <f t="shared" si="10"/>
        <v>19945.530000000002</v>
      </c>
      <c r="N191" s="51">
        <f t="shared" si="11"/>
        <v>0.4927949340692736</v>
      </c>
    </row>
    <row r="192" spans="1:14" ht="15">
      <c r="A192" s="48">
        <f>Raw_Data!A192</f>
        <v>191</v>
      </c>
      <c r="B192" s="49">
        <f>Raw_Data!B192</f>
        <v>45869</v>
      </c>
      <c r="C192" s="48" t="str">
        <f>Raw_Data!C192</f>
        <v>EU</v>
      </c>
      <c r="D192" s="48" t="str">
        <f>Raw_Data!D192</f>
        <v>Services</v>
      </c>
      <c r="E192" s="48" t="str">
        <f>Raw_Data!E192</f>
        <v>SMB</v>
      </c>
      <c r="F192" s="48" t="str">
        <f>Raw_Data!F192</f>
        <v>Partner</v>
      </c>
      <c r="G192" s="50">
        <f>Raw_Data!G192</f>
        <v>125</v>
      </c>
      <c r="H192" s="50">
        <f>Raw_Data!H192</f>
        <v>276.11</v>
      </c>
      <c r="I192" s="50">
        <f>Raw_Data!I192</f>
        <v>34513.75</v>
      </c>
      <c r="J192" s="50">
        <f>Raw_Data!J192</f>
        <v>19356.62</v>
      </c>
      <c r="K192" s="48" t="str">
        <f t="shared" si="8"/>
        <v>2025-07</v>
      </c>
      <c r="L192" s="48" t="str">
        <f t="shared" si="9"/>
        <v>Q3-2025</v>
      </c>
      <c r="M192" s="50">
        <f t="shared" si="10"/>
        <v>15157.130000000001</v>
      </c>
      <c r="N192" s="51">
        <f t="shared" si="11"/>
        <v>0.43916207308681326</v>
      </c>
    </row>
    <row r="193" spans="1:14" ht="15">
      <c r="A193" s="48">
        <f>Raw_Data!A193</f>
        <v>192</v>
      </c>
      <c r="B193" s="49">
        <f>Raw_Data!B193</f>
        <v>45868</v>
      </c>
      <c r="C193" s="48" t="str">
        <f>Raw_Data!C193</f>
        <v>APAC</v>
      </c>
      <c r="D193" s="48" t="str">
        <f>Raw_Data!D193</f>
        <v>Services</v>
      </c>
      <c r="E193" s="48" t="str">
        <f>Raw_Data!E193</f>
        <v>Public Sector</v>
      </c>
      <c r="F193" s="48" t="str">
        <f>Raw_Data!F193</f>
        <v>Online</v>
      </c>
      <c r="G193" s="50">
        <f>Raw_Data!G193</f>
        <v>197</v>
      </c>
      <c r="H193" s="50">
        <f>Raw_Data!H193</f>
        <v>303.99</v>
      </c>
      <c r="I193" s="50">
        <f>Raw_Data!I193</f>
        <v>59886.03</v>
      </c>
      <c r="J193" s="50">
        <f>Raw_Data!J193</f>
        <v>32114.12</v>
      </c>
      <c r="K193" s="48" t="str">
        <f t="shared" si="8"/>
        <v>2025-07</v>
      </c>
      <c r="L193" s="48" t="str">
        <f t="shared" si="9"/>
        <v>Q3-2025</v>
      </c>
      <c r="M193" s="50">
        <f t="shared" si="10"/>
        <v>27771.91</v>
      </c>
      <c r="N193" s="51">
        <f t="shared" si="11"/>
        <v>0.4637460522929972</v>
      </c>
    </row>
    <row r="194" spans="1:14" ht="15">
      <c r="A194" s="48">
        <f>Raw_Data!A194</f>
        <v>193</v>
      </c>
      <c r="B194" s="49">
        <f>Raw_Data!B194</f>
        <v>45874</v>
      </c>
      <c r="C194" s="48" t="str">
        <f>Raw_Data!C194</f>
        <v>APAC</v>
      </c>
      <c r="D194" s="48" t="str">
        <f>Raw_Data!D194</f>
        <v>Training</v>
      </c>
      <c r="E194" s="48" t="str">
        <f>Raw_Data!E194</f>
        <v>SMB</v>
      </c>
      <c r="F194" s="48" t="str">
        <f>Raw_Data!F194</f>
        <v>Online</v>
      </c>
      <c r="G194" s="50">
        <f>Raw_Data!G194</f>
        <v>119</v>
      </c>
      <c r="H194" s="50">
        <f>Raw_Data!H194</f>
        <v>146.94</v>
      </c>
      <c r="I194" s="50">
        <f>Raw_Data!I194</f>
        <v>17485.86</v>
      </c>
      <c r="J194" s="50">
        <f>Raw_Data!J194</f>
        <v>8620.0300000000007</v>
      </c>
      <c r="K194" s="48" t="str">
        <f t="shared" ref="K194:K257" si="12">TEXT(B194,"yyyy-mm")</f>
        <v>2025-08</v>
      </c>
      <c r="L194" s="48" t="str">
        <f t="shared" ref="L194:L257" si="13">"Q"&amp;ROUNDUP(MONTH(B194)/3,0)&amp;"-"&amp;YEAR(B194)</f>
        <v>Q3-2025</v>
      </c>
      <c r="M194" s="50">
        <f t="shared" ref="M194:M257" si="14">I194-J194</f>
        <v>8865.83</v>
      </c>
      <c r="N194" s="51">
        <f t="shared" ref="N194:N257" si="15">IFERROR(M194/I194,0)</f>
        <v>0.50702853620010679</v>
      </c>
    </row>
    <row r="195" spans="1:14" ht="15">
      <c r="A195" s="48">
        <f>Raw_Data!A195</f>
        <v>194</v>
      </c>
      <c r="B195" s="49">
        <f>Raw_Data!B195</f>
        <v>45875</v>
      </c>
      <c r="C195" s="48" t="str">
        <f>Raw_Data!C195</f>
        <v>US</v>
      </c>
      <c r="D195" s="48" t="str">
        <f>Raw_Data!D195</f>
        <v>Software</v>
      </c>
      <c r="E195" s="48" t="str">
        <f>Raw_Data!E195</f>
        <v>Public Sector</v>
      </c>
      <c r="F195" s="48" t="str">
        <f>Raw_Data!F195</f>
        <v>Partner</v>
      </c>
      <c r="G195" s="50">
        <f>Raw_Data!G195</f>
        <v>42</v>
      </c>
      <c r="H195" s="50">
        <f>Raw_Data!H195</f>
        <v>476.93</v>
      </c>
      <c r="I195" s="50">
        <f>Raw_Data!I195</f>
        <v>20031.060000000001</v>
      </c>
      <c r="J195" s="50">
        <f>Raw_Data!J195</f>
        <v>8519.58</v>
      </c>
      <c r="K195" s="48" t="str">
        <f t="shared" si="12"/>
        <v>2025-08</v>
      </c>
      <c r="L195" s="48" t="str">
        <f t="shared" si="13"/>
        <v>Q3-2025</v>
      </c>
      <c r="M195" s="50">
        <f t="shared" si="14"/>
        <v>11511.480000000001</v>
      </c>
      <c r="N195" s="51">
        <f t="shared" si="15"/>
        <v>0.57468151960006109</v>
      </c>
    </row>
    <row r="196" spans="1:14" ht="15">
      <c r="A196" s="48">
        <f>Raw_Data!A196</f>
        <v>195</v>
      </c>
      <c r="B196" s="49">
        <f>Raw_Data!B196</f>
        <v>45878</v>
      </c>
      <c r="C196" s="48" t="str">
        <f>Raw_Data!C196</f>
        <v>EU</v>
      </c>
      <c r="D196" s="48" t="str">
        <f>Raw_Data!D196</f>
        <v>Hardware</v>
      </c>
      <c r="E196" s="48" t="str">
        <f>Raw_Data!E196</f>
        <v>SMB</v>
      </c>
      <c r="F196" s="48" t="str">
        <f>Raw_Data!F196</f>
        <v>Online</v>
      </c>
      <c r="G196" s="50">
        <f>Raw_Data!G196</f>
        <v>131</v>
      </c>
      <c r="H196" s="50">
        <f>Raw_Data!H196</f>
        <v>452.6</v>
      </c>
      <c r="I196" s="50">
        <f>Raw_Data!I196</f>
        <v>59290.6</v>
      </c>
      <c r="J196" s="50">
        <f>Raw_Data!J196</f>
        <v>41303.269999999997</v>
      </c>
      <c r="K196" s="48" t="str">
        <f t="shared" si="12"/>
        <v>2025-08</v>
      </c>
      <c r="L196" s="48" t="str">
        <f t="shared" si="13"/>
        <v>Q3-2025</v>
      </c>
      <c r="M196" s="50">
        <f t="shared" si="14"/>
        <v>17987.330000000002</v>
      </c>
      <c r="N196" s="51">
        <f t="shared" si="15"/>
        <v>0.30337574590238592</v>
      </c>
    </row>
    <row r="197" spans="1:14" ht="15">
      <c r="A197" s="48">
        <f>Raw_Data!A197</f>
        <v>196</v>
      </c>
      <c r="B197" s="49">
        <f>Raw_Data!B197</f>
        <v>45884</v>
      </c>
      <c r="C197" s="48" t="str">
        <f>Raw_Data!C197</f>
        <v>UK</v>
      </c>
      <c r="D197" s="48" t="str">
        <f>Raw_Data!D197</f>
        <v>Hardware</v>
      </c>
      <c r="E197" s="48" t="str">
        <f>Raw_Data!E197</f>
        <v>Enterprise</v>
      </c>
      <c r="F197" s="48" t="str">
        <f>Raw_Data!F197</f>
        <v>Partner</v>
      </c>
      <c r="G197" s="50">
        <f>Raw_Data!G197</f>
        <v>204</v>
      </c>
      <c r="H197" s="50">
        <f>Raw_Data!H197</f>
        <v>604.71</v>
      </c>
      <c r="I197" s="50">
        <f>Raw_Data!I197</f>
        <v>123360.84</v>
      </c>
      <c r="J197" s="50">
        <f>Raw_Data!J197</f>
        <v>81869.14</v>
      </c>
      <c r="K197" s="48" t="str">
        <f t="shared" si="12"/>
        <v>2025-08</v>
      </c>
      <c r="L197" s="48" t="str">
        <f t="shared" si="13"/>
        <v>Q3-2025</v>
      </c>
      <c r="M197" s="50">
        <f t="shared" si="14"/>
        <v>41491.699999999997</v>
      </c>
      <c r="N197" s="51">
        <f t="shared" si="15"/>
        <v>0.3363441753477035</v>
      </c>
    </row>
    <row r="198" spans="1:14" ht="15">
      <c r="A198" s="48">
        <f>Raw_Data!A198</f>
        <v>197</v>
      </c>
      <c r="B198" s="49">
        <f>Raw_Data!B198</f>
        <v>45884</v>
      </c>
      <c r="C198" s="48" t="str">
        <f>Raw_Data!C198</f>
        <v>APAC</v>
      </c>
      <c r="D198" s="48" t="str">
        <f>Raw_Data!D198</f>
        <v>Software</v>
      </c>
      <c r="E198" s="48" t="str">
        <f>Raw_Data!E198</f>
        <v>Enterprise</v>
      </c>
      <c r="F198" s="48" t="str">
        <f>Raw_Data!F198</f>
        <v>Online</v>
      </c>
      <c r="G198" s="50">
        <f>Raw_Data!G198</f>
        <v>29</v>
      </c>
      <c r="H198" s="50">
        <f>Raw_Data!H198</f>
        <v>446.72</v>
      </c>
      <c r="I198" s="50">
        <f>Raw_Data!I198</f>
        <v>12954.88</v>
      </c>
      <c r="J198" s="50">
        <f>Raw_Data!J198</f>
        <v>5373.94</v>
      </c>
      <c r="K198" s="48" t="str">
        <f t="shared" si="12"/>
        <v>2025-08</v>
      </c>
      <c r="L198" s="48" t="str">
        <f t="shared" si="13"/>
        <v>Q3-2025</v>
      </c>
      <c r="M198" s="50">
        <f t="shared" si="14"/>
        <v>7580.94</v>
      </c>
      <c r="N198" s="51">
        <f t="shared" si="15"/>
        <v>0.58518025639758919</v>
      </c>
    </row>
    <row r="199" spans="1:14" ht="15">
      <c r="A199" s="48">
        <f>Raw_Data!A199</f>
        <v>198</v>
      </c>
      <c r="B199" s="49">
        <f>Raw_Data!B199</f>
        <v>45886</v>
      </c>
      <c r="C199" s="48" t="str">
        <f>Raw_Data!C199</f>
        <v>UK</v>
      </c>
      <c r="D199" s="48" t="str">
        <f>Raw_Data!D199</f>
        <v>Software</v>
      </c>
      <c r="E199" s="48" t="str">
        <f>Raw_Data!E199</f>
        <v>Public Sector</v>
      </c>
      <c r="F199" s="48" t="str">
        <f>Raw_Data!F199</f>
        <v>Partner</v>
      </c>
      <c r="G199" s="50">
        <f>Raw_Data!G199</f>
        <v>175</v>
      </c>
      <c r="H199" s="50">
        <f>Raw_Data!H199</f>
        <v>425.4</v>
      </c>
      <c r="I199" s="50">
        <f>Raw_Data!I199</f>
        <v>74445</v>
      </c>
      <c r="J199" s="50">
        <f>Raw_Data!J199</f>
        <v>30737.46</v>
      </c>
      <c r="K199" s="48" t="str">
        <f t="shared" si="12"/>
        <v>2025-08</v>
      </c>
      <c r="L199" s="48" t="str">
        <f t="shared" si="13"/>
        <v>Q3-2025</v>
      </c>
      <c r="M199" s="50">
        <f t="shared" si="14"/>
        <v>43707.54</v>
      </c>
      <c r="N199" s="51">
        <f t="shared" si="15"/>
        <v>0.58711182752367519</v>
      </c>
    </row>
    <row r="200" spans="1:14" ht="15">
      <c r="A200" s="48">
        <f>Raw_Data!A200</f>
        <v>199</v>
      </c>
      <c r="B200" s="49">
        <f>Raw_Data!B200</f>
        <v>45891</v>
      </c>
      <c r="C200" s="48" t="str">
        <f>Raw_Data!C200</f>
        <v>UK</v>
      </c>
      <c r="D200" s="48" t="str">
        <f>Raw_Data!D200</f>
        <v>Services</v>
      </c>
      <c r="E200" s="48" t="str">
        <f>Raw_Data!E200</f>
        <v>Enterprise</v>
      </c>
      <c r="F200" s="48" t="str">
        <f>Raw_Data!F200</f>
        <v>Online</v>
      </c>
      <c r="G200" s="50">
        <f>Raw_Data!G200</f>
        <v>117</v>
      </c>
      <c r="H200" s="50">
        <f>Raw_Data!H200</f>
        <v>373.61</v>
      </c>
      <c r="I200" s="50">
        <f>Raw_Data!I200</f>
        <v>43712.37</v>
      </c>
      <c r="J200" s="50">
        <f>Raw_Data!J200</f>
        <v>24228.02</v>
      </c>
      <c r="K200" s="48" t="str">
        <f t="shared" si="12"/>
        <v>2025-08</v>
      </c>
      <c r="L200" s="48" t="str">
        <f t="shared" si="13"/>
        <v>Q3-2025</v>
      </c>
      <c r="M200" s="50">
        <f t="shared" si="14"/>
        <v>19484.350000000002</v>
      </c>
      <c r="N200" s="51">
        <f t="shared" si="15"/>
        <v>0.44573995873479294</v>
      </c>
    </row>
    <row r="201" spans="1:14" ht="15">
      <c r="A201" s="48">
        <f>Raw_Data!A201</f>
        <v>200</v>
      </c>
      <c r="B201" s="49">
        <f>Raw_Data!B201</f>
        <v>45893</v>
      </c>
      <c r="C201" s="48" t="str">
        <f>Raw_Data!C201</f>
        <v>APAC</v>
      </c>
      <c r="D201" s="48" t="str">
        <f>Raw_Data!D201</f>
        <v>Training</v>
      </c>
      <c r="E201" s="48" t="str">
        <f>Raw_Data!E201</f>
        <v>Mid-Market</v>
      </c>
      <c r="F201" s="48" t="str">
        <f>Raw_Data!F201</f>
        <v>Direct</v>
      </c>
      <c r="G201" s="50">
        <f>Raw_Data!G201</f>
        <v>48</v>
      </c>
      <c r="H201" s="50">
        <f>Raw_Data!H201</f>
        <v>181.69</v>
      </c>
      <c r="I201" s="50">
        <f>Raw_Data!I201</f>
        <v>8721.1200000000008</v>
      </c>
      <c r="J201" s="50">
        <f>Raw_Data!J201</f>
        <v>3963.56</v>
      </c>
      <c r="K201" s="48" t="str">
        <f t="shared" si="12"/>
        <v>2025-08</v>
      </c>
      <c r="L201" s="48" t="str">
        <f t="shared" si="13"/>
        <v>Q3-2025</v>
      </c>
      <c r="M201" s="50">
        <f t="shared" si="14"/>
        <v>4757.5600000000013</v>
      </c>
      <c r="N201" s="51">
        <f t="shared" si="15"/>
        <v>0.54552167611499447</v>
      </c>
    </row>
    <row r="202" spans="1:14" ht="15">
      <c r="A202" s="48">
        <f>Raw_Data!A202</f>
        <v>201</v>
      </c>
      <c r="B202" s="49">
        <f>Raw_Data!B202</f>
        <v>45896</v>
      </c>
      <c r="C202" s="48" t="str">
        <f>Raw_Data!C202</f>
        <v>APAC</v>
      </c>
      <c r="D202" s="48" t="str">
        <f>Raw_Data!D202</f>
        <v>Services</v>
      </c>
      <c r="E202" s="48" t="str">
        <f>Raw_Data!E202</f>
        <v>Mid-Market</v>
      </c>
      <c r="F202" s="48" t="str">
        <f>Raw_Data!F202</f>
        <v>Partner</v>
      </c>
      <c r="G202" s="50">
        <f>Raw_Data!G202</f>
        <v>185</v>
      </c>
      <c r="H202" s="50">
        <f>Raw_Data!H202</f>
        <v>276.20999999999998</v>
      </c>
      <c r="I202" s="50">
        <f>Raw_Data!I202</f>
        <v>51098.85</v>
      </c>
      <c r="J202" s="50">
        <f>Raw_Data!J202</f>
        <v>29290.78</v>
      </c>
      <c r="K202" s="48" t="str">
        <f t="shared" si="12"/>
        <v>2025-08</v>
      </c>
      <c r="L202" s="48" t="str">
        <f t="shared" si="13"/>
        <v>Q3-2025</v>
      </c>
      <c r="M202" s="50">
        <f t="shared" si="14"/>
        <v>21808.07</v>
      </c>
      <c r="N202" s="51">
        <f t="shared" si="15"/>
        <v>0.42678201172824831</v>
      </c>
    </row>
    <row r="203" spans="1:14" ht="15">
      <c r="A203" s="48">
        <f>Raw_Data!A203</f>
        <v>202</v>
      </c>
      <c r="B203" s="49">
        <f>Raw_Data!B203</f>
        <v>45901</v>
      </c>
      <c r="C203" s="48" t="str">
        <f>Raw_Data!C203</f>
        <v>APAC</v>
      </c>
      <c r="D203" s="48" t="str">
        <f>Raw_Data!D203</f>
        <v>Hardware</v>
      </c>
      <c r="E203" s="48" t="str">
        <f>Raw_Data!E203</f>
        <v>Mid-Market</v>
      </c>
      <c r="F203" s="48" t="str">
        <f>Raw_Data!F203</f>
        <v>Partner</v>
      </c>
      <c r="G203" s="50">
        <f>Raw_Data!G203</f>
        <v>105</v>
      </c>
      <c r="H203" s="50">
        <f>Raw_Data!H203</f>
        <v>451.26</v>
      </c>
      <c r="I203" s="50">
        <f>Raw_Data!I203</f>
        <v>47382.3</v>
      </c>
      <c r="J203" s="50">
        <f>Raw_Data!J203</f>
        <v>31508.26</v>
      </c>
      <c r="K203" s="48" t="str">
        <f t="shared" si="12"/>
        <v>2025-09</v>
      </c>
      <c r="L203" s="48" t="str">
        <f t="shared" si="13"/>
        <v>Q3-2025</v>
      </c>
      <c r="M203" s="50">
        <f t="shared" si="14"/>
        <v>15874.040000000005</v>
      </c>
      <c r="N203" s="51">
        <f t="shared" si="15"/>
        <v>0.33502046122708279</v>
      </c>
    </row>
    <row r="204" spans="1:14" ht="15">
      <c r="A204" s="48">
        <f>Raw_Data!A204</f>
        <v>203</v>
      </c>
      <c r="B204" s="49">
        <f>Raw_Data!B204</f>
        <v>45904</v>
      </c>
      <c r="C204" s="48" t="str">
        <f>Raw_Data!C204</f>
        <v>US</v>
      </c>
      <c r="D204" s="48" t="str">
        <f>Raw_Data!D204</f>
        <v>Training</v>
      </c>
      <c r="E204" s="48" t="str">
        <f>Raw_Data!E204</f>
        <v>Mid-Market</v>
      </c>
      <c r="F204" s="48" t="str">
        <f>Raw_Data!F204</f>
        <v>Partner</v>
      </c>
      <c r="G204" s="50">
        <f>Raw_Data!G204</f>
        <v>15</v>
      </c>
      <c r="H204" s="50">
        <f>Raw_Data!H204</f>
        <v>217.26</v>
      </c>
      <c r="I204" s="50">
        <f>Raw_Data!I204</f>
        <v>3258.9</v>
      </c>
      <c r="J204" s="50">
        <f>Raw_Data!J204</f>
        <v>1635.74</v>
      </c>
      <c r="K204" s="48" t="str">
        <f t="shared" si="12"/>
        <v>2025-09</v>
      </c>
      <c r="L204" s="48" t="str">
        <f t="shared" si="13"/>
        <v>Q3-2025</v>
      </c>
      <c r="M204" s="50">
        <f t="shared" si="14"/>
        <v>1623.16</v>
      </c>
      <c r="N204" s="51">
        <f t="shared" si="15"/>
        <v>0.49806990088680231</v>
      </c>
    </row>
    <row r="205" spans="1:14" ht="15">
      <c r="A205" s="48">
        <f>Raw_Data!A205</f>
        <v>204</v>
      </c>
      <c r="B205" s="49">
        <f>Raw_Data!B205</f>
        <v>45906</v>
      </c>
      <c r="C205" s="48" t="str">
        <f>Raw_Data!C205</f>
        <v>EU</v>
      </c>
      <c r="D205" s="48" t="str">
        <f>Raw_Data!D205</f>
        <v>Hardware</v>
      </c>
      <c r="E205" s="48" t="str">
        <f>Raw_Data!E205</f>
        <v>Enterprise</v>
      </c>
      <c r="F205" s="48" t="str">
        <f>Raw_Data!F205</f>
        <v>Partner</v>
      </c>
      <c r="G205" s="50">
        <f>Raw_Data!G205</f>
        <v>139</v>
      </c>
      <c r="H205" s="50">
        <f>Raw_Data!H205</f>
        <v>625.78</v>
      </c>
      <c r="I205" s="50">
        <f>Raw_Data!I205</f>
        <v>86983.42</v>
      </c>
      <c r="J205" s="50">
        <f>Raw_Data!J205</f>
        <v>60142.47</v>
      </c>
      <c r="K205" s="48" t="str">
        <f t="shared" si="12"/>
        <v>2025-09</v>
      </c>
      <c r="L205" s="48" t="str">
        <f t="shared" si="13"/>
        <v>Q3-2025</v>
      </c>
      <c r="M205" s="50">
        <f t="shared" si="14"/>
        <v>26840.949999999997</v>
      </c>
      <c r="N205" s="51">
        <f t="shared" si="15"/>
        <v>0.30857547334882895</v>
      </c>
    </row>
    <row r="206" spans="1:14" ht="15">
      <c r="A206" s="48">
        <f>Raw_Data!A206</f>
        <v>205</v>
      </c>
      <c r="B206" s="49">
        <f>Raw_Data!B206</f>
        <v>45909</v>
      </c>
      <c r="C206" s="48" t="str">
        <f>Raw_Data!C206</f>
        <v>EU</v>
      </c>
      <c r="D206" s="48" t="str">
        <f>Raw_Data!D206</f>
        <v>Hardware</v>
      </c>
      <c r="E206" s="48" t="str">
        <f>Raw_Data!E206</f>
        <v>Public Sector</v>
      </c>
      <c r="F206" s="48" t="str">
        <f>Raw_Data!F206</f>
        <v>Direct</v>
      </c>
      <c r="G206" s="50">
        <f>Raw_Data!G206</f>
        <v>36</v>
      </c>
      <c r="H206" s="50">
        <f>Raw_Data!H206</f>
        <v>554.01</v>
      </c>
      <c r="I206" s="50">
        <f>Raw_Data!I206</f>
        <v>19944.36</v>
      </c>
      <c r="J206" s="50">
        <f>Raw_Data!J206</f>
        <v>14138.11</v>
      </c>
      <c r="K206" s="48" t="str">
        <f t="shared" si="12"/>
        <v>2025-09</v>
      </c>
      <c r="L206" s="48" t="str">
        <f t="shared" si="13"/>
        <v>Q3-2025</v>
      </c>
      <c r="M206" s="50">
        <f t="shared" si="14"/>
        <v>5806.25</v>
      </c>
      <c r="N206" s="51">
        <f t="shared" si="15"/>
        <v>0.29112240252382127</v>
      </c>
    </row>
    <row r="207" spans="1:14" ht="15">
      <c r="A207" s="48">
        <f>Raw_Data!A207</f>
        <v>206</v>
      </c>
      <c r="B207" s="49">
        <f>Raw_Data!B207</f>
        <v>45911</v>
      </c>
      <c r="C207" s="48" t="str">
        <f>Raw_Data!C207</f>
        <v>US</v>
      </c>
      <c r="D207" s="48" t="str">
        <f>Raw_Data!D207</f>
        <v>Software</v>
      </c>
      <c r="E207" s="48" t="str">
        <f>Raw_Data!E207</f>
        <v>SMB</v>
      </c>
      <c r="F207" s="48" t="str">
        <f>Raw_Data!F207</f>
        <v>Direct</v>
      </c>
      <c r="G207" s="50">
        <f>Raw_Data!G207</f>
        <v>33</v>
      </c>
      <c r="H207" s="50">
        <f>Raw_Data!H207</f>
        <v>406.85</v>
      </c>
      <c r="I207" s="50">
        <f>Raw_Data!I207</f>
        <v>13426.05</v>
      </c>
      <c r="J207" s="50">
        <f>Raw_Data!J207</f>
        <v>5454.36</v>
      </c>
      <c r="K207" s="48" t="str">
        <f t="shared" si="12"/>
        <v>2025-09</v>
      </c>
      <c r="L207" s="48" t="str">
        <f t="shared" si="13"/>
        <v>Q3-2025</v>
      </c>
      <c r="M207" s="50">
        <f t="shared" si="14"/>
        <v>7971.69</v>
      </c>
      <c r="N207" s="51">
        <f t="shared" si="15"/>
        <v>0.59374797501871357</v>
      </c>
    </row>
    <row r="208" spans="1:14" ht="15">
      <c r="A208" s="48">
        <f>Raw_Data!A208</f>
        <v>207</v>
      </c>
      <c r="B208" s="49">
        <f>Raw_Data!B208</f>
        <v>45913</v>
      </c>
      <c r="C208" s="48" t="str">
        <f>Raw_Data!C208</f>
        <v>EU</v>
      </c>
      <c r="D208" s="48" t="str">
        <f>Raw_Data!D208</f>
        <v>Services</v>
      </c>
      <c r="E208" s="48" t="str">
        <f>Raw_Data!E208</f>
        <v>Mid-Market</v>
      </c>
      <c r="F208" s="48" t="str">
        <f>Raw_Data!F208</f>
        <v>Partner</v>
      </c>
      <c r="G208" s="50">
        <f>Raw_Data!G208</f>
        <v>103</v>
      </c>
      <c r="H208" s="50">
        <f>Raw_Data!H208</f>
        <v>318.27</v>
      </c>
      <c r="I208" s="50">
        <f>Raw_Data!I208</f>
        <v>32781.81</v>
      </c>
      <c r="J208" s="50">
        <f>Raw_Data!J208</f>
        <v>17490.900000000001</v>
      </c>
      <c r="K208" s="48" t="str">
        <f t="shared" si="12"/>
        <v>2025-09</v>
      </c>
      <c r="L208" s="48" t="str">
        <f t="shared" si="13"/>
        <v>Q3-2025</v>
      </c>
      <c r="M208" s="50">
        <f t="shared" si="14"/>
        <v>15290.909999999996</v>
      </c>
      <c r="N208" s="51">
        <f t="shared" si="15"/>
        <v>0.4664449583473273</v>
      </c>
    </row>
    <row r="209" spans="1:14" ht="15">
      <c r="A209" s="48">
        <f>Raw_Data!A209</f>
        <v>208</v>
      </c>
      <c r="B209" s="49">
        <f>Raw_Data!B209</f>
        <v>45919</v>
      </c>
      <c r="C209" s="48" t="str">
        <f>Raw_Data!C209</f>
        <v>EU</v>
      </c>
      <c r="D209" s="48" t="str">
        <f>Raw_Data!D209</f>
        <v>Software</v>
      </c>
      <c r="E209" s="48" t="str">
        <f>Raw_Data!E209</f>
        <v>Enterprise</v>
      </c>
      <c r="F209" s="48" t="str">
        <f>Raw_Data!F209</f>
        <v>Direct</v>
      </c>
      <c r="G209" s="50">
        <f>Raw_Data!G209</f>
        <v>141</v>
      </c>
      <c r="H209" s="50">
        <f>Raw_Data!H209</f>
        <v>524.41</v>
      </c>
      <c r="I209" s="50">
        <f>Raw_Data!I209</f>
        <v>73941.81</v>
      </c>
      <c r="J209" s="50">
        <f>Raw_Data!J209</f>
        <v>31388.42</v>
      </c>
      <c r="K209" s="48" t="str">
        <f t="shared" si="12"/>
        <v>2025-09</v>
      </c>
      <c r="L209" s="48" t="str">
        <f t="shared" si="13"/>
        <v>Q3-2025</v>
      </c>
      <c r="M209" s="50">
        <f t="shared" si="14"/>
        <v>42553.39</v>
      </c>
      <c r="N209" s="51">
        <f t="shared" si="15"/>
        <v>0.5754983547197452</v>
      </c>
    </row>
    <row r="210" spans="1:14" ht="15">
      <c r="A210" s="48">
        <f>Raw_Data!A210</f>
        <v>209</v>
      </c>
      <c r="B210" s="49">
        <f>Raw_Data!B210</f>
        <v>45922</v>
      </c>
      <c r="C210" s="48" t="str">
        <f>Raw_Data!C210</f>
        <v>UK</v>
      </c>
      <c r="D210" s="48" t="str">
        <f>Raw_Data!D210</f>
        <v>Software</v>
      </c>
      <c r="E210" s="48" t="str">
        <f>Raw_Data!E210</f>
        <v>Enterprise</v>
      </c>
      <c r="F210" s="48" t="str">
        <f>Raw_Data!F210</f>
        <v>Partner</v>
      </c>
      <c r="G210" s="50">
        <f>Raw_Data!G210</f>
        <v>74</v>
      </c>
      <c r="H210" s="50">
        <f>Raw_Data!H210</f>
        <v>490.91</v>
      </c>
      <c r="I210" s="50">
        <f>Raw_Data!I210</f>
        <v>36327.339999999997</v>
      </c>
      <c r="J210" s="50">
        <f>Raw_Data!J210</f>
        <v>15285.12</v>
      </c>
      <c r="K210" s="48" t="str">
        <f t="shared" si="12"/>
        <v>2025-09</v>
      </c>
      <c r="L210" s="48" t="str">
        <f t="shared" si="13"/>
        <v>Q3-2025</v>
      </c>
      <c r="M210" s="50">
        <f t="shared" si="14"/>
        <v>21042.219999999994</v>
      </c>
      <c r="N210" s="51">
        <f t="shared" si="15"/>
        <v>0.57923921762507236</v>
      </c>
    </row>
    <row r="211" spans="1:14" ht="15">
      <c r="A211" s="48">
        <f>Raw_Data!A211</f>
        <v>210</v>
      </c>
      <c r="B211" s="49">
        <f>Raw_Data!B211</f>
        <v>45926</v>
      </c>
      <c r="C211" s="48" t="str">
        <f>Raw_Data!C211</f>
        <v>UK</v>
      </c>
      <c r="D211" s="48" t="str">
        <f>Raw_Data!D211</f>
        <v>Training</v>
      </c>
      <c r="E211" s="48" t="str">
        <f>Raw_Data!E211</f>
        <v>Public Sector</v>
      </c>
      <c r="F211" s="48" t="str">
        <f>Raw_Data!F211</f>
        <v>Direct</v>
      </c>
      <c r="G211" s="50">
        <f>Raw_Data!G211</f>
        <v>194</v>
      </c>
      <c r="H211" s="50">
        <f>Raw_Data!H211</f>
        <v>186.73</v>
      </c>
      <c r="I211" s="50">
        <f>Raw_Data!I211</f>
        <v>36225.620000000003</v>
      </c>
      <c r="J211" s="50">
        <f>Raw_Data!J211</f>
        <v>17474.57</v>
      </c>
      <c r="K211" s="48" t="str">
        <f t="shared" si="12"/>
        <v>2025-09</v>
      </c>
      <c r="L211" s="48" t="str">
        <f t="shared" si="13"/>
        <v>Q3-2025</v>
      </c>
      <c r="M211" s="50">
        <f t="shared" si="14"/>
        <v>18751.050000000003</v>
      </c>
      <c r="N211" s="51">
        <f t="shared" si="15"/>
        <v>0.5176184700220452</v>
      </c>
    </row>
    <row r="212" spans="1:14" ht="15">
      <c r="A212" s="48">
        <f>Raw_Data!A212</f>
        <v>211</v>
      </c>
      <c r="B212" s="49">
        <f>Raw_Data!B212</f>
        <v>45929</v>
      </c>
      <c r="C212" s="48" t="str">
        <f>Raw_Data!C212</f>
        <v>UK</v>
      </c>
      <c r="D212" s="48" t="str">
        <f>Raw_Data!D212</f>
        <v>Services</v>
      </c>
      <c r="E212" s="48" t="str">
        <f>Raw_Data!E212</f>
        <v>Enterprise</v>
      </c>
      <c r="F212" s="48" t="str">
        <f>Raw_Data!F212</f>
        <v>Partner</v>
      </c>
      <c r="G212" s="50">
        <f>Raw_Data!G212</f>
        <v>193</v>
      </c>
      <c r="H212" s="50">
        <f>Raw_Data!H212</f>
        <v>355.9</v>
      </c>
      <c r="I212" s="50">
        <f>Raw_Data!I212</f>
        <v>68688.7</v>
      </c>
      <c r="J212" s="50">
        <f>Raw_Data!J212</f>
        <v>38688.53</v>
      </c>
      <c r="K212" s="48" t="str">
        <f t="shared" si="12"/>
        <v>2025-09</v>
      </c>
      <c r="L212" s="48" t="str">
        <f t="shared" si="13"/>
        <v>Q3-2025</v>
      </c>
      <c r="M212" s="50">
        <f t="shared" si="14"/>
        <v>30000.17</v>
      </c>
      <c r="N212" s="51">
        <f t="shared" si="15"/>
        <v>0.43675553620901253</v>
      </c>
    </row>
    <row r="213" spans="1:14" ht="15">
      <c r="A213" s="48">
        <f>Raw_Data!A213</f>
        <v>212</v>
      </c>
      <c r="B213" s="49">
        <f>Raw_Data!B213</f>
        <v>45931</v>
      </c>
      <c r="C213" s="48" t="str">
        <f>Raw_Data!C213</f>
        <v>US</v>
      </c>
      <c r="D213" s="48" t="str">
        <f>Raw_Data!D213</f>
        <v>Training</v>
      </c>
      <c r="E213" s="48" t="str">
        <f>Raw_Data!E213</f>
        <v>Public Sector</v>
      </c>
      <c r="F213" s="48" t="str">
        <f>Raw_Data!F213</f>
        <v>Online</v>
      </c>
      <c r="G213" s="50">
        <f>Raw_Data!G213</f>
        <v>34</v>
      </c>
      <c r="H213" s="50">
        <f>Raw_Data!H213</f>
        <v>211.77</v>
      </c>
      <c r="I213" s="50">
        <f>Raw_Data!I213</f>
        <v>7200.18</v>
      </c>
      <c r="J213" s="50">
        <f>Raw_Data!J213</f>
        <v>3408.74</v>
      </c>
      <c r="K213" s="48" t="str">
        <f t="shared" si="12"/>
        <v>2025-10</v>
      </c>
      <c r="L213" s="48" t="str">
        <f t="shared" si="13"/>
        <v>Q4-2025</v>
      </c>
      <c r="M213" s="50">
        <f t="shared" si="14"/>
        <v>3791.4400000000005</v>
      </c>
      <c r="N213" s="51">
        <f t="shared" si="15"/>
        <v>0.5265757244957765</v>
      </c>
    </row>
    <row r="214" spans="1:14" ht="15">
      <c r="A214" s="48">
        <f>Raw_Data!A214</f>
        <v>213</v>
      </c>
      <c r="B214" s="49">
        <f>Raw_Data!B214</f>
        <v>45931</v>
      </c>
      <c r="C214" s="48" t="str">
        <f>Raw_Data!C214</f>
        <v>UK</v>
      </c>
      <c r="D214" s="48" t="str">
        <f>Raw_Data!D214</f>
        <v>Software</v>
      </c>
      <c r="E214" s="48" t="str">
        <f>Raw_Data!E214</f>
        <v>Enterprise</v>
      </c>
      <c r="F214" s="48" t="str">
        <f>Raw_Data!F214</f>
        <v>Direct</v>
      </c>
      <c r="G214" s="50">
        <f>Raw_Data!G214</f>
        <v>145</v>
      </c>
      <c r="H214" s="50">
        <f>Raw_Data!H214</f>
        <v>484.15</v>
      </c>
      <c r="I214" s="50">
        <f>Raw_Data!I214</f>
        <v>70201.75</v>
      </c>
      <c r="J214" s="50">
        <f>Raw_Data!J214</f>
        <v>30833.74</v>
      </c>
      <c r="K214" s="48" t="str">
        <f t="shared" si="12"/>
        <v>2025-10</v>
      </c>
      <c r="L214" s="48" t="str">
        <f t="shared" si="13"/>
        <v>Q4-2025</v>
      </c>
      <c r="M214" s="50">
        <f t="shared" si="14"/>
        <v>39368.009999999995</v>
      </c>
      <c r="N214" s="51">
        <f t="shared" si="15"/>
        <v>0.56078388359264542</v>
      </c>
    </row>
    <row r="215" spans="1:14" ht="15">
      <c r="A215" s="48">
        <f>Raw_Data!A215</f>
        <v>214</v>
      </c>
      <c r="B215" s="49">
        <f>Raw_Data!B215</f>
        <v>45935</v>
      </c>
      <c r="C215" s="48" t="str">
        <f>Raw_Data!C215</f>
        <v>UK</v>
      </c>
      <c r="D215" s="48" t="str">
        <f>Raw_Data!D215</f>
        <v>Services</v>
      </c>
      <c r="E215" s="48" t="str">
        <f>Raw_Data!E215</f>
        <v>Public Sector</v>
      </c>
      <c r="F215" s="48" t="str">
        <f>Raw_Data!F215</f>
        <v>Online</v>
      </c>
      <c r="G215" s="50">
        <f>Raw_Data!G215</f>
        <v>47</v>
      </c>
      <c r="H215" s="50">
        <f>Raw_Data!H215</f>
        <v>302.91000000000003</v>
      </c>
      <c r="I215" s="50">
        <f>Raw_Data!I215</f>
        <v>14236.77</v>
      </c>
      <c r="J215" s="50">
        <f>Raw_Data!J215</f>
        <v>8200.52</v>
      </c>
      <c r="K215" s="48" t="str">
        <f t="shared" si="12"/>
        <v>2025-10</v>
      </c>
      <c r="L215" s="48" t="str">
        <f t="shared" si="13"/>
        <v>Q4-2025</v>
      </c>
      <c r="M215" s="50">
        <f t="shared" si="14"/>
        <v>6036.25</v>
      </c>
      <c r="N215" s="51">
        <f t="shared" si="15"/>
        <v>0.42399013259327784</v>
      </c>
    </row>
    <row r="216" spans="1:14" ht="15">
      <c r="A216" s="48">
        <f>Raw_Data!A216</f>
        <v>215</v>
      </c>
      <c r="B216" s="49">
        <f>Raw_Data!B216</f>
        <v>45939</v>
      </c>
      <c r="C216" s="48" t="str">
        <f>Raw_Data!C216</f>
        <v>US</v>
      </c>
      <c r="D216" s="48" t="str">
        <f>Raw_Data!D216</f>
        <v>Training</v>
      </c>
      <c r="E216" s="48" t="str">
        <f>Raw_Data!E216</f>
        <v>Mid-Market</v>
      </c>
      <c r="F216" s="48" t="str">
        <f>Raw_Data!F216</f>
        <v>Partner</v>
      </c>
      <c r="G216" s="50">
        <f>Raw_Data!G216</f>
        <v>126</v>
      </c>
      <c r="H216" s="50">
        <f>Raw_Data!H216</f>
        <v>202.98</v>
      </c>
      <c r="I216" s="50">
        <f>Raw_Data!I216</f>
        <v>25575.48</v>
      </c>
      <c r="J216" s="50">
        <f>Raw_Data!J216</f>
        <v>11927.18</v>
      </c>
      <c r="K216" s="48" t="str">
        <f t="shared" si="12"/>
        <v>2025-10</v>
      </c>
      <c r="L216" s="48" t="str">
        <f t="shared" si="13"/>
        <v>Q4-2025</v>
      </c>
      <c r="M216" s="50">
        <f t="shared" si="14"/>
        <v>13648.3</v>
      </c>
      <c r="N216" s="51">
        <f t="shared" si="15"/>
        <v>0.53364785333452192</v>
      </c>
    </row>
    <row r="217" spans="1:14" ht="15">
      <c r="A217" s="48">
        <f>Raw_Data!A217</f>
        <v>216</v>
      </c>
      <c r="B217" s="49">
        <f>Raw_Data!B217</f>
        <v>45940</v>
      </c>
      <c r="C217" s="48" t="str">
        <f>Raw_Data!C217</f>
        <v>US</v>
      </c>
      <c r="D217" s="48" t="str">
        <f>Raw_Data!D217</f>
        <v>Hardware</v>
      </c>
      <c r="E217" s="48" t="str">
        <f>Raw_Data!E217</f>
        <v>Enterprise</v>
      </c>
      <c r="F217" s="48" t="str">
        <f>Raw_Data!F217</f>
        <v>Partner</v>
      </c>
      <c r="G217" s="50">
        <f>Raw_Data!G217</f>
        <v>118</v>
      </c>
      <c r="H217" s="50">
        <f>Raw_Data!H217</f>
        <v>688.55</v>
      </c>
      <c r="I217" s="50">
        <f>Raw_Data!I217</f>
        <v>81248.899999999994</v>
      </c>
      <c r="J217" s="50">
        <f>Raw_Data!J217</f>
        <v>58009.98</v>
      </c>
      <c r="K217" s="48" t="str">
        <f t="shared" si="12"/>
        <v>2025-10</v>
      </c>
      <c r="L217" s="48" t="str">
        <f t="shared" si="13"/>
        <v>Q4-2025</v>
      </c>
      <c r="M217" s="50">
        <f t="shared" si="14"/>
        <v>23238.919999999991</v>
      </c>
      <c r="N217" s="51">
        <f t="shared" si="15"/>
        <v>0.28602134921211231</v>
      </c>
    </row>
    <row r="218" spans="1:14" ht="15">
      <c r="A218" s="48">
        <f>Raw_Data!A218</f>
        <v>217</v>
      </c>
      <c r="B218" s="49">
        <f>Raw_Data!B218</f>
        <v>45947</v>
      </c>
      <c r="C218" s="48" t="str">
        <f>Raw_Data!C218</f>
        <v>US</v>
      </c>
      <c r="D218" s="48" t="str">
        <f>Raw_Data!D218</f>
        <v>Services</v>
      </c>
      <c r="E218" s="48" t="str">
        <f>Raw_Data!E218</f>
        <v>Public Sector</v>
      </c>
      <c r="F218" s="48" t="str">
        <f>Raw_Data!F218</f>
        <v>Direct</v>
      </c>
      <c r="G218" s="50">
        <f>Raw_Data!G218</f>
        <v>99</v>
      </c>
      <c r="H218" s="50">
        <f>Raw_Data!H218</f>
        <v>353.21</v>
      </c>
      <c r="I218" s="50">
        <f>Raw_Data!I218</f>
        <v>34967.79</v>
      </c>
      <c r="J218" s="50">
        <f>Raw_Data!J218</f>
        <v>19804.240000000002</v>
      </c>
      <c r="K218" s="48" t="str">
        <f t="shared" si="12"/>
        <v>2025-10</v>
      </c>
      <c r="L218" s="48" t="str">
        <f t="shared" si="13"/>
        <v>Q4-2025</v>
      </c>
      <c r="M218" s="50">
        <f t="shared" si="14"/>
        <v>15163.55</v>
      </c>
      <c r="N218" s="51">
        <f t="shared" si="15"/>
        <v>0.43364336150497357</v>
      </c>
    </row>
    <row r="219" spans="1:14" ht="15">
      <c r="A219" s="48">
        <f>Raw_Data!A219</f>
        <v>218</v>
      </c>
      <c r="B219" s="49">
        <f>Raw_Data!B219</f>
        <v>45947</v>
      </c>
      <c r="C219" s="48" t="str">
        <f>Raw_Data!C219</f>
        <v>UK</v>
      </c>
      <c r="D219" s="48" t="str">
        <f>Raw_Data!D219</f>
        <v>Software</v>
      </c>
      <c r="E219" s="48" t="str">
        <f>Raw_Data!E219</f>
        <v>Public Sector</v>
      </c>
      <c r="F219" s="48" t="str">
        <f>Raw_Data!F219</f>
        <v>Online</v>
      </c>
      <c r="G219" s="50">
        <f>Raw_Data!G219</f>
        <v>156</v>
      </c>
      <c r="H219" s="50">
        <f>Raw_Data!H219</f>
        <v>432.15</v>
      </c>
      <c r="I219" s="50">
        <f>Raw_Data!I219</f>
        <v>67415.399999999994</v>
      </c>
      <c r="J219" s="50">
        <f>Raw_Data!J219</f>
        <v>28681.95</v>
      </c>
      <c r="K219" s="48" t="str">
        <f t="shared" si="12"/>
        <v>2025-10</v>
      </c>
      <c r="L219" s="48" t="str">
        <f t="shared" si="13"/>
        <v>Q4-2025</v>
      </c>
      <c r="M219" s="50">
        <f t="shared" si="14"/>
        <v>38733.449999999997</v>
      </c>
      <c r="N219" s="51">
        <f t="shared" si="15"/>
        <v>0.57454899029005246</v>
      </c>
    </row>
    <row r="220" spans="1:14" ht="15">
      <c r="A220" s="48">
        <f>Raw_Data!A220</f>
        <v>219</v>
      </c>
      <c r="B220" s="49">
        <f>Raw_Data!B220</f>
        <v>45949</v>
      </c>
      <c r="C220" s="48" t="str">
        <f>Raw_Data!C220</f>
        <v>APAC</v>
      </c>
      <c r="D220" s="48" t="str">
        <f>Raw_Data!D220</f>
        <v>Hardware</v>
      </c>
      <c r="E220" s="48" t="str">
        <f>Raw_Data!E220</f>
        <v>SMB</v>
      </c>
      <c r="F220" s="48" t="str">
        <f>Raw_Data!F220</f>
        <v>Direct</v>
      </c>
      <c r="G220" s="50">
        <f>Raw_Data!G220</f>
        <v>26</v>
      </c>
      <c r="H220" s="50">
        <f>Raw_Data!H220</f>
        <v>381.48</v>
      </c>
      <c r="I220" s="50">
        <f>Raw_Data!I220</f>
        <v>9918.48</v>
      </c>
      <c r="J220" s="50">
        <f>Raw_Data!J220</f>
        <v>7041.06</v>
      </c>
      <c r="K220" s="48" t="str">
        <f t="shared" si="12"/>
        <v>2025-10</v>
      </c>
      <c r="L220" s="48" t="str">
        <f t="shared" si="13"/>
        <v>Q4-2025</v>
      </c>
      <c r="M220" s="50">
        <f t="shared" si="14"/>
        <v>2877.4199999999992</v>
      </c>
      <c r="N220" s="51">
        <f t="shared" si="15"/>
        <v>0.29010695187165769</v>
      </c>
    </row>
    <row r="221" spans="1:14" ht="15">
      <c r="A221" s="48">
        <f>Raw_Data!A221</f>
        <v>220</v>
      </c>
      <c r="B221" s="49">
        <f>Raw_Data!B221</f>
        <v>45956</v>
      </c>
      <c r="C221" s="48" t="str">
        <f>Raw_Data!C221</f>
        <v>UK</v>
      </c>
      <c r="D221" s="48" t="str">
        <f>Raw_Data!D221</f>
        <v>Training</v>
      </c>
      <c r="E221" s="48" t="str">
        <f>Raw_Data!E221</f>
        <v>Mid-Market</v>
      </c>
      <c r="F221" s="48" t="str">
        <f>Raw_Data!F221</f>
        <v>Online</v>
      </c>
      <c r="G221" s="50">
        <f>Raw_Data!G221</f>
        <v>187</v>
      </c>
      <c r="H221" s="50">
        <f>Raw_Data!H221</f>
        <v>183.91</v>
      </c>
      <c r="I221" s="50">
        <f>Raw_Data!I221</f>
        <v>34391.17</v>
      </c>
      <c r="J221" s="50">
        <f>Raw_Data!J221</f>
        <v>16809.03</v>
      </c>
      <c r="K221" s="48" t="str">
        <f t="shared" si="12"/>
        <v>2025-10</v>
      </c>
      <c r="L221" s="48" t="str">
        <f t="shared" si="13"/>
        <v>Q4-2025</v>
      </c>
      <c r="M221" s="50">
        <f t="shared" si="14"/>
        <v>17582.14</v>
      </c>
      <c r="N221" s="51">
        <f t="shared" si="15"/>
        <v>0.51123994909158366</v>
      </c>
    </row>
    <row r="222" spans="1:14" ht="15">
      <c r="A222" s="48">
        <f>Raw_Data!A222</f>
        <v>221</v>
      </c>
      <c r="B222" s="49">
        <f>Raw_Data!B222</f>
        <v>45955</v>
      </c>
      <c r="C222" s="48" t="str">
        <f>Raw_Data!C222</f>
        <v>EU</v>
      </c>
      <c r="D222" s="48" t="str">
        <f>Raw_Data!D222</f>
        <v>Software</v>
      </c>
      <c r="E222" s="48" t="str">
        <f>Raw_Data!E222</f>
        <v>Public Sector</v>
      </c>
      <c r="F222" s="48" t="str">
        <f>Raw_Data!F222</f>
        <v>Online</v>
      </c>
      <c r="G222" s="50">
        <f>Raw_Data!G222</f>
        <v>210</v>
      </c>
      <c r="H222" s="50">
        <f>Raw_Data!H222</f>
        <v>439.99</v>
      </c>
      <c r="I222" s="50">
        <f>Raw_Data!I222</f>
        <v>92397.9</v>
      </c>
      <c r="J222" s="50">
        <f>Raw_Data!J222</f>
        <v>40020.79</v>
      </c>
      <c r="K222" s="48" t="str">
        <f t="shared" si="12"/>
        <v>2025-10</v>
      </c>
      <c r="L222" s="48" t="str">
        <f t="shared" si="13"/>
        <v>Q4-2025</v>
      </c>
      <c r="M222" s="50">
        <f t="shared" si="14"/>
        <v>52377.109999999993</v>
      </c>
      <c r="N222" s="51">
        <f t="shared" si="15"/>
        <v>0.56686472311600156</v>
      </c>
    </row>
    <row r="223" spans="1:14" ht="15">
      <c r="A223" s="48">
        <f>Raw_Data!A223</f>
        <v>222</v>
      </c>
      <c r="B223" s="49">
        <f>Raw_Data!B223</f>
        <v>45958</v>
      </c>
      <c r="C223" s="48" t="str">
        <f>Raw_Data!C223</f>
        <v>APAC</v>
      </c>
      <c r="D223" s="48" t="str">
        <f>Raw_Data!D223</f>
        <v>Software</v>
      </c>
      <c r="E223" s="48" t="str">
        <f>Raw_Data!E223</f>
        <v>SMB</v>
      </c>
      <c r="F223" s="48" t="str">
        <f>Raw_Data!F223</f>
        <v>Partner</v>
      </c>
      <c r="G223" s="50">
        <f>Raw_Data!G223</f>
        <v>50</v>
      </c>
      <c r="H223" s="50">
        <f>Raw_Data!H223</f>
        <v>333.67</v>
      </c>
      <c r="I223" s="50">
        <f>Raw_Data!I223</f>
        <v>16683.5</v>
      </c>
      <c r="J223" s="50">
        <f>Raw_Data!J223</f>
        <v>7116.12</v>
      </c>
      <c r="K223" s="48" t="str">
        <f t="shared" si="12"/>
        <v>2025-10</v>
      </c>
      <c r="L223" s="48" t="str">
        <f t="shared" si="13"/>
        <v>Q4-2025</v>
      </c>
      <c r="M223" s="50">
        <f t="shared" si="14"/>
        <v>9567.380000000001</v>
      </c>
      <c r="N223" s="51">
        <f t="shared" si="15"/>
        <v>0.57346360176222022</v>
      </c>
    </row>
    <row r="224" spans="1:14" ht="15">
      <c r="A224" s="48">
        <f>Raw_Data!A224</f>
        <v>223</v>
      </c>
      <c r="B224" s="49">
        <f>Raw_Data!B224</f>
        <v>45963</v>
      </c>
      <c r="C224" s="48" t="str">
        <f>Raw_Data!C224</f>
        <v>US</v>
      </c>
      <c r="D224" s="48" t="str">
        <f>Raw_Data!D224</f>
        <v>Services</v>
      </c>
      <c r="E224" s="48" t="str">
        <f>Raw_Data!E224</f>
        <v>Public Sector</v>
      </c>
      <c r="F224" s="48" t="str">
        <f>Raw_Data!F224</f>
        <v>Direct</v>
      </c>
      <c r="G224" s="50">
        <f>Raw_Data!G224</f>
        <v>96</v>
      </c>
      <c r="H224" s="50">
        <f>Raw_Data!H224</f>
        <v>358.48</v>
      </c>
      <c r="I224" s="50">
        <f>Raw_Data!I224</f>
        <v>34414.080000000002</v>
      </c>
      <c r="J224" s="50">
        <f>Raw_Data!J224</f>
        <v>19162.16</v>
      </c>
      <c r="K224" s="48" t="str">
        <f t="shared" si="12"/>
        <v>2025-11</v>
      </c>
      <c r="L224" s="48" t="str">
        <f t="shared" si="13"/>
        <v>Q4-2025</v>
      </c>
      <c r="M224" s="50">
        <f t="shared" si="14"/>
        <v>15251.920000000002</v>
      </c>
      <c r="N224" s="51">
        <f t="shared" si="15"/>
        <v>0.44318836941158973</v>
      </c>
    </row>
    <row r="225" spans="1:14" ht="15">
      <c r="A225" s="48">
        <f>Raw_Data!A225</f>
        <v>224</v>
      </c>
      <c r="B225" s="49">
        <f>Raw_Data!B225</f>
        <v>45968</v>
      </c>
      <c r="C225" s="48" t="str">
        <f>Raw_Data!C225</f>
        <v>UK</v>
      </c>
      <c r="D225" s="48" t="str">
        <f>Raw_Data!D225</f>
        <v>Training</v>
      </c>
      <c r="E225" s="48" t="str">
        <f>Raw_Data!E225</f>
        <v>SMB</v>
      </c>
      <c r="F225" s="48" t="str">
        <f>Raw_Data!F225</f>
        <v>Direct</v>
      </c>
      <c r="G225" s="50">
        <f>Raw_Data!G225</f>
        <v>213</v>
      </c>
      <c r="H225" s="50">
        <f>Raw_Data!H225</f>
        <v>171.68</v>
      </c>
      <c r="I225" s="50">
        <f>Raw_Data!I225</f>
        <v>36567.839999999997</v>
      </c>
      <c r="J225" s="50">
        <f>Raw_Data!J225</f>
        <v>17823.009999999998</v>
      </c>
      <c r="K225" s="48" t="str">
        <f t="shared" si="12"/>
        <v>2025-11</v>
      </c>
      <c r="L225" s="48" t="str">
        <f t="shared" si="13"/>
        <v>Q4-2025</v>
      </c>
      <c r="M225" s="50">
        <f t="shared" si="14"/>
        <v>18744.829999999998</v>
      </c>
      <c r="N225" s="51">
        <f t="shared" si="15"/>
        <v>0.51260424460400178</v>
      </c>
    </row>
    <row r="226" spans="1:14" ht="15">
      <c r="A226" s="48">
        <f>Raw_Data!A226</f>
        <v>225</v>
      </c>
      <c r="B226" s="49">
        <f>Raw_Data!B226</f>
        <v>45970</v>
      </c>
      <c r="C226" s="48" t="str">
        <f>Raw_Data!C226</f>
        <v>APAC</v>
      </c>
      <c r="D226" s="48" t="str">
        <f>Raw_Data!D226</f>
        <v>Software</v>
      </c>
      <c r="E226" s="48" t="str">
        <f>Raw_Data!E226</f>
        <v>SMB</v>
      </c>
      <c r="F226" s="48" t="str">
        <f>Raw_Data!F226</f>
        <v>Online</v>
      </c>
      <c r="G226" s="50">
        <f>Raw_Data!G226</f>
        <v>114</v>
      </c>
      <c r="H226" s="50">
        <f>Raw_Data!H226</f>
        <v>336.91</v>
      </c>
      <c r="I226" s="50">
        <f>Raw_Data!I226</f>
        <v>38407.74</v>
      </c>
      <c r="J226" s="50">
        <f>Raw_Data!J226</f>
        <v>17458.36</v>
      </c>
      <c r="K226" s="48" t="str">
        <f t="shared" si="12"/>
        <v>2025-11</v>
      </c>
      <c r="L226" s="48" t="str">
        <f t="shared" si="13"/>
        <v>Q4-2025</v>
      </c>
      <c r="M226" s="50">
        <f t="shared" si="14"/>
        <v>20949.379999999997</v>
      </c>
      <c r="N226" s="51">
        <f t="shared" si="15"/>
        <v>0.5454468292068213</v>
      </c>
    </row>
    <row r="227" spans="1:14" ht="15">
      <c r="A227" s="48">
        <f>Raw_Data!A227</f>
        <v>226</v>
      </c>
      <c r="B227" s="49">
        <f>Raw_Data!B227</f>
        <v>45971</v>
      </c>
      <c r="C227" s="48" t="str">
        <f>Raw_Data!C227</f>
        <v>APAC</v>
      </c>
      <c r="D227" s="48" t="str">
        <f>Raw_Data!D227</f>
        <v>Training</v>
      </c>
      <c r="E227" s="48" t="str">
        <f>Raw_Data!E227</f>
        <v>SMB</v>
      </c>
      <c r="F227" s="48" t="str">
        <f>Raw_Data!F227</f>
        <v>Direct</v>
      </c>
      <c r="G227" s="50">
        <f>Raw_Data!G227</f>
        <v>179</v>
      </c>
      <c r="H227" s="50">
        <f>Raw_Data!H227</f>
        <v>149.88</v>
      </c>
      <c r="I227" s="50">
        <f>Raw_Data!I227</f>
        <v>26828.52</v>
      </c>
      <c r="J227" s="50">
        <f>Raw_Data!J227</f>
        <v>13634.93</v>
      </c>
      <c r="K227" s="48" t="str">
        <f t="shared" si="12"/>
        <v>2025-11</v>
      </c>
      <c r="L227" s="48" t="str">
        <f t="shared" si="13"/>
        <v>Q4-2025</v>
      </c>
      <c r="M227" s="50">
        <f t="shared" si="14"/>
        <v>13193.59</v>
      </c>
      <c r="N227" s="51">
        <f t="shared" si="15"/>
        <v>0.49177479786436223</v>
      </c>
    </row>
    <row r="228" spans="1:14" ht="15">
      <c r="A228" s="48">
        <f>Raw_Data!A228</f>
        <v>227</v>
      </c>
      <c r="B228" s="49">
        <f>Raw_Data!B228</f>
        <v>45973</v>
      </c>
      <c r="C228" s="48" t="str">
        <f>Raw_Data!C228</f>
        <v>APAC</v>
      </c>
      <c r="D228" s="48" t="str">
        <f>Raw_Data!D228</f>
        <v>Software</v>
      </c>
      <c r="E228" s="48" t="str">
        <f>Raw_Data!E228</f>
        <v>SMB</v>
      </c>
      <c r="F228" s="48" t="str">
        <f>Raw_Data!F228</f>
        <v>Online</v>
      </c>
      <c r="G228" s="50">
        <f>Raw_Data!G228</f>
        <v>186</v>
      </c>
      <c r="H228" s="50">
        <f>Raw_Data!H228</f>
        <v>319.91000000000003</v>
      </c>
      <c r="I228" s="50">
        <f>Raw_Data!I228</f>
        <v>59503.26</v>
      </c>
      <c r="J228" s="50">
        <f>Raw_Data!J228</f>
        <v>26943.83</v>
      </c>
      <c r="K228" s="48" t="str">
        <f t="shared" si="12"/>
        <v>2025-11</v>
      </c>
      <c r="L228" s="48" t="str">
        <f t="shared" si="13"/>
        <v>Q4-2025</v>
      </c>
      <c r="M228" s="50">
        <f t="shared" si="14"/>
        <v>32559.43</v>
      </c>
      <c r="N228" s="51">
        <f t="shared" si="15"/>
        <v>0.54718733057650959</v>
      </c>
    </row>
    <row r="229" spans="1:14" ht="15">
      <c r="A229" s="48">
        <f>Raw_Data!A229</f>
        <v>228</v>
      </c>
      <c r="B229" s="49">
        <f>Raw_Data!B229</f>
        <v>45976</v>
      </c>
      <c r="C229" s="48" t="str">
        <f>Raw_Data!C229</f>
        <v>EU</v>
      </c>
      <c r="D229" s="48" t="str">
        <f>Raw_Data!D229</f>
        <v>Software</v>
      </c>
      <c r="E229" s="48" t="str">
        <f>Raw_Data!E229</f>
        <v>Mid-Market</v>
      </c>
      <c r="F229" s="48" t="str">
        <f>Raw_Data!F229</f>
        <v>Partner</v>
      </c>
      <c r="G229" s="50">
        <f>Raw_Data!G229</f>
        <v>19</v>
      </c>
      <c r="H229" s="50">
        <f>Raw_Data!H229</f>
        <v>427.37</v>
      </c>
      <c r="I229" s="50">
        <f>Raw_Data!I229</f>
        <v>8120.03</v>
      </c>
      <c r="J229" s="50">
        <f>Raw_Data!J229</f>
        <v>3467.13</v>
      </c>
      <c r="K229" s="48" t="str">
        <f t="shared" si="12"/>
        <v>2025-11</v>
      </c>
      <c r="L229" s="48" t="str">
        <f t="shared" si="13"/>
        <v>Q4-2025</v>
      </c>
      <c r="M229" s="50">
        <f t="shared" si="14"/>
        <v>4652.8999999999996</v>
      </c>
      <c r="N229" s="51">
        <f t="shared" si="15"/>
        <v>0.57301512432835833</v>
      </c>
    </row>
    <row r="230" spans="1:14" ht="15">
      <c r="A230" s="48">
        <f>Raw_Data!A230</f>
        <v>229</v>
      </c>
      <c r="B230" s="49">
        <f>Raw_Data!B230</f>
        <v>45982</v>
      </c>
      <c r="C230" s="48" t="str">
        <f>Raw_Data!C230</f>
        <v>EU</v>
      </c>
      <c r="D230" s="48" t="str">
        <f>Raw_Data!D230</f>
        <v>Software</v>
      </c>
      <c r="E230" s="48" t="str">
        <f>Raw_Data!E230</f>
        <v>Enterprise</v>
      </c>
      <c r="F230" s="48" t="str">
        <f>Raw_Data!F230</f>
        <v>Online</v>
      </c>
      <c r="G230" s="50">
        <f>Raw_Data!G230</f>
        <v>197</v>
      </c>
      <c r="H230" s="50">
        <f>Raw_Data!H230</f>
        <v>546.98</v>
      </c>
      <c r="I230" s="50">
        <f>Raw_Data!I230</f>
        <v>107755.06</v>
      </c>
      <c r="J230" s="50">
        <f>Raw_Data!J230</f>
        <v>43038.66</v>
      </c>
      <c r="K230" s="48" t="str">
        <f t="shared" si="12"/>
        <v>2025-11</v>
      </c>
      <c r="L230" s="48" t="str">
        <f t="shared" si="13"/>
        <v>Q4-2025</v>
      </c>
      <c r="M230" s="50">
        <f t="shared" si="14"/>
        <v>64716.399999999994</v>
      </c>
      <c r="N230" s="51">
        <f t="shared" si="15"/>
        <v>0.60058803735063571</v>
      </c>
    </row>
    <row r="231" spans="1:14" ht="15">
      <c r="A231" s="48">
        <f>Raw_Data!A231</f>
        <v>230</v>
      </c>
      <c r="B231" s="49">
        <f>Raw_Data!B231</f>
        <v>45982</v>
      </c>
      <c r="C231" s="48" t="str">
        <f>Raw_Data!C231</f>
        <v>US</v>
      </c>
      <c r="D231" s="48" t="str">
        <f>Raw_Data!D231</f>
        <v>Training</v>
      </c>
      <c r="E231" s="48" t="str">
        <f>Raw_Data!E231</f>
        <v>Public Sector</v>
      </c>
      <c r="F231" s="48" t="str">
        <f>Raw_Data!F231</f>
        <v>Online</v>
      </c>
      <c r="G231" s="50">
        <f>Raw_Data!G231</f>
        <v>80</v>
      </c>
      <c r="H231" s="50">
        <f>Raw_Data!H231</f>
        <v>245.19</v>
      </c>
      <c r="I231" s="50">
        <f>Raw_Data!I231</f>
        <v>19615.2</v>
      </c>
      <c r="J231" s="50">
        <f>Raw_Data!J231</f>
        <v>8893.98</v>
      </c>
      <c r="K231" s="48" t="str">
        <f t="shared" si="12"/>
        <v>2025-11</v>
      </c>
      <c r="L231" s="48" t="str">
        <f t="shared" si="13"/>
        <v>Q4-2025</v>
      </c>
      <c r="M231" s="50">
        <f t="shared" si="14"/>
        <v>10721.220000000001</v>
      </c>
      <c r="N231" s="51">
        <f t="shared" si="15"/>
        <v>0.54657714425547543</v>
      </c>
    </row>
    <row r="232" spans="1:14" ht="15">
      <c r="A232" s="48">
        <f>Raw_Data!A232</f>
        <v>231</v>
      </c>
      <c r="B232" s="49">
        <f>Raw_Data!B232</f>
        <v>45985</v>
      </c>
      <c r="C232" s="48" t="str">
        <f>Raw_Data!C232</f>
        <v>UK</v>
      </c>
      <c r="D232" s="48" t="str">
        <f>Raw_Data!D232</f>
        <v>Software</v>
      </c>
      <c r="E232" s="48" t="str">
        <f>Raw_Data!E232</f>
        <v>SMB</v>
      </c>
      <c r="F232" s="48" t="str">
        <f>Raw_Data!F232</f>
        <v>Online</v>
      </c>
      <c r="G232" s="50">
        <f>Raw_Data!G232</f>
        <v>190</v>
      </c>
      <c r="H232" s="50">
        <f>Raw_Data!H232</f>
        <v>366.24</v>
      </c>
      <c r="I232" s="50">
        <f>Raw_Data!I232</f>
        <v>69585.600000000006</v>
      </c>
      <c r="J232" s="50">
        <f>Raw_Data!J232</f>
        <v>27498.78</v>
      </c>
      <c r="K232" s="48" t="str">
        <f t="shared" si="12"/>
        <v>2025-11</v>
      </c>
      <c r="L232" s="48" t="str">
        <f t="shared" si="13"/>
        <v>Q4-2025</v>
      </c>
      <c r="M232" s="50">
        <f t="shared" si="14"/>
        <v>42086.820000000007</v>
      </c>
      <c r="N232" s="51">
        <f t="shared" si="15"/>
        <v>0.60482082499827561</v>
      </c>
    </row>
    <row r="233" spans="1:14" ht="15">
      <c r="A233" s="48">
        <f>Raw_Data!A233</f>
        <v>232</v>
      </c>
      <c r="B233" s="49">
        <f>Raw_Data!B233</f>
        <v>45990</v>
      </c>
      <c r="C233" s="48" t="str">
        <f>Raw_Data!C233</f>
        <v>US</v>
      </c>
      <c r="D233" s="48" t="str">
        <f>Raw_Data!D233</f>
        <v>Services</v>
      </c>
      <c r="E233" s="48" t="str">
        <f>Raw_Data!E233</f>
        <v>Public Sector</v>
      </c>
      <c r="F233" s="48" t="str">
        <f>Raw_Data!F233</f>
        <v>Online</v>
      </c>
      <c r="G233" s="50">
        <f>Raw_Data!G233</f>
        <v>30</v>
      </c>
      <c r="H233" s="50">
        <f>Raw_Data!H233</f>
        <v>369.14</v>
      </c>
      <c r="I233" s="50">
        <f>Raw_Data!I233</f>
        <v>11074.2</v>
      </c>
      <c r="J233" s="50">
        <f>Raw_Data!J233</f>
        <v>6441.52</v>
      </c>
      <c r="K233" s="48" t="str">
        <f t="shared" si="12"/>
        <v>2025-11</v>
      </c>
      <c r="L233" s="48" t="str">
        <f t="shared" si="13"/>
        <v>Q4-2025</v>
      </c>
      <c r="M233" s="50">
        <f t="shared" si="14"/>
        <v>4632.68</v>
      </c>
      <c r="N233" s="51">
        <f t="shared" si="15"/>
        <v>0.41833089523396721</v>
      </c>
    </row>
    <row r="234" spans="1:14" ht="15">
      <c r="A234" s="48">
        <f>Raw_Data!A234</f>
        <v>233</v>
      </c>
      <c r="B234" s="49">
        <f>Raw_Data!B234</f>
        <v>45994</v>
      </c>
      <c r="C234" s="48" t="str">
        <f>Raw_Data!C234</f>
        <v>APAC</v>
      </c>
      <c r="D234" s="48" t="str">
        <f>Raw_Data!D234</f>
        <v>Services</v>
      </c>
      <c r="E234" s="48" t="str">
        <f>Raw_Data!E234</f>
        <v>Mid-Market</v>
      </c>
      <c r="F234" s="48" t="str">
        <f>Raw_Data!F234</f>
        <v>Direct</v>
      </c>
      <c r="G234" s="50">
        <f>Raw_Data!G234</f>
        <v>107</v>
      </c>
      <c r="H234" s="50">
        <f>Raw_Data!H234</f>
        <v>307.74</v>
      </c>
      <c r="I234" s="50">
        <f>Raw_Data!I234</f>
        <v>32928.18</v>
      </c>
      <c r="J234" s="50">
        <f>Raw_Data!J234</f>
        <v>17473.72</v>
      </c>
      <c r="K234" s="48" t="str">
        <f t="shared" si="12"/>
        <v>2025-12</v>
      </c>
      <c r="L234" s="48" t="str">
        <f t="shared" si="13"/>
        <v>Q4-2025</v>
      </c>
      <c r="M234" s="50">
        <f t="shared" si="14"/>
        <v>15454.46</v>
      </c>
      <c r="N234" s="51">
        <f t="shared" si="15"/>
        <v>0.46933842076907983</v>
      </c>
    </row>
    <row r="235" spans="1:14" ht="15">
      <c r="A235" s="48">
        <f>Raw_Data!A235</f>
        <v>234</v>
      </c>
      <c r="B235" s="49">
        <f>Raw_Data!B235</f>
        <v>45997</v>
      </c>
      <c r="C235" s="48" t="str">
        <f>Raw_Data!C235</f>
        <v>APAC</v>
      </c>
      <c r="D235" s="48" t="str">
        <f>Raw_Data!D235</f>
        <v>Training</v>
      </c>
      <c r="E235" s="48" t="str">
        <f>Raw_Data!E235</f>
        <v>Public Sector</v>
      </c>
      <c r="F235" s="48" t="str">
        <f>Raw_Data!F235</f>
        <v>Partner</v>
      </c>
      <c r="G235" s="50">
        <f>Raw_Data!G235</f>
        <v>215</v>
      </c>
      <c r="H235" s="50">
        <f>Raw_Data!H235</f>
        <v>200.27</v>
      </c>
      <c r="I235" s="50">
        <f>Raw_Data!I235</f>
        <v>43058.05</v>
      </c>
      <c r="J235" s="50">
        <f>Raw_Data!J235</f>
        <v>20310.59</v>
      </c>
      <c r="K235" s="48" t="str">
        <f t="shared" si="12"/>
        <v>2025-12</v>
      </c>
      <c r="L235" s="48" t="str">
        <f t="shared" si="13"/>
        <v>Q4-2025</v>
      </c>
      <c r="M235" s="50">
        <f t="shared" si="14"/>
        <v>22747.460000000003</v>
      </c>
      <c r="N235" s="51">
        <f t="shared" si="15"/>
        <v>0.52829749605474474</v>
      </c>
    </row>
    <row r="236" spans="1:14" ht="15">
      <c r="A236" s="48">
        <f>Raw_Data!A236</f>
        <v>235</v>
      </c>
      <c r="B236" s="49">
        <f>Raw_Data!B236</f>
        <v>45999</v>
      </c>
      <c r="C236" s="48" t="str">
        <f>Raw_Data!C236</f>
        <v>UK</v>
      </c>
      <c r="D236" s="48" t="str">
        <f>Raw_Data!D236</f>
        <v>Hardware</v>
      </c>
      <c r="E236" s="48" t="str">
        <f>Raw_Data!E236</f>
        <v>SMB</v>
      </c>
      <c r="F236" s="48" t="str">
        <f>Raw_Data!F236</f>
        <v>Direct</v>
      </c>
      <c r="G236" s="50">
        <f>Raw_Data!G236</f>
        <v>168</v>
      </c>
      <c r="H236" s="50">
        <f>Raw_Data!H236</f>
        <v>460.77</v>
      </c>
      <c r="I236" s="50">
        <f>Raw_Data!I236</f>
        <v>77409.36</v>
      </c>
      <c r="J236" s="50">
        <f>Raw_Data!J236</f>
        <v>53257.91</v>
      </c>
      <c r="K236" s="48" t="str">
        <f t="shared" si="12"/>
        <v>2025-12</v>
      </c>
      <c r="L236" s="48" t="str">
        <f t="shared" si="13"/>
        <v>Q4-2025</v>
      </c>
      <c r="M236" s="50">
        <f t="shared" si="14"/>
        <v>24151.449999999997</v>
      </c>
      <c r="N236" s="51">
        <f t="shared" si="15"/>
        <v>0.31199650791583855</v>
      </c>
    </row>
    <row r="237" spans="1:14" ht="15">
      <c r="A237" s="48">
        <f>Raw_Data!A237</f>
        <v>236</v>
      </c>
      <c r="B237" s="49">
        <f>Raw_Data!B237</f>
        <v>46001</v>
      </c>
      <c r="C237" s="48" t="str">
        <f>Raw_Data!C237</f>
        <v>APAC</v>
      </c>
      <c r="D237" s="48" t="str">
        <f>Raw_Data!D237</f>
        <v>Training</v>
      </c>
      <c r="E237" s="48" t="str">
        <f>Raw_Data!E237</f>
        <v>Public Sector</v>
      </c>
      <c r="F237" s="48" t="str">
        <f>Raw_Data!F237</f>
        <v>Online</v>
      </c>
      <c r="G237" s="50">
        <f>Raw_Data!G237</f>
        <v>212</v>
      </c>
      <c r="H237" s="50">
        <f>Raw_Data!H237</f>
        <v>205.36</v>
      </c>
      <c r="I237" s="50">
        <f>Raw_Data!I237</f>
        <v>43536.32</v>
      </c>
      <c r="J237" s="50">
        <f>Raw_Data!J237</f>
        <v>21876.400000000001</v>
      </c>
      <c r="K237" s="48" t="str">
        <f t="shared" si="12"/>
        <v>2025-12</v>
      </c>
      <c r="L237" s="48" t="str">
        <f t="shared" si="13"/>
        <v>Q4-2025</v>
      </c>
      <c r="M237" s="50">
        <f t="shared" si="14"/>
        <v>21659.919999999998</v>
      </c>
      <c r="N237" s="51">
        <f t="shared" si="15"/>
        <v>0.49751379997206924</v>
      </c>
    </row>
    <row r="238" spans="1:14" ht="15">
      <c r="A238" s="48">
        <f>Raw_Data!A238</f>
        <v>237</v>
      </c>
      <c r="B238" s="49">
        <f>Raw_Data!B238</f>
        <v>46005</v>
      </c>
      <c r="C238" s="48" t="str">
        <f>Raw_Data!C238</f>
        <v>UK</v>
      </c>
      <c r="D238" s="48" t="str">
        <f>Raw_Data!D238</f>
        <v>Hardware</v>
      </c>
      <c r="E238" s="48" t="str">
        <f>Raw_Data!E238</f>
        <v>Enterprise</v>
      </c>
      <c r="F238" s="48" t="str">
        <f>Raw_Data!F238</f>
        <v>Partner</v>
      </c>
      <c r="G238" s="50">
        <f>Raw_Data!G238</f>
        <v>123</v>
      </c>
      <c r="H238" s="50">
        <f>Raw_Data!H238</f>
        <v>620.05999999999995</v>
      </c>
      <c r="I238" s="50">
        <f>Raw_Data!I238</f>
        <v>76267.38</v>
      </c>
      <c r="J238" s="50">
        <f>Raw_Data!J238</f>
        <v>54137.54</v>
      </c>
      <c r="K238" s="48" t="str">
        <f t="shared" si="12"/>
        <v>2025-12</v>
      </c>
      <c r="L238" s="48" t="str">
        <f t="shared" si="13"/>
        <v>Q4-2025</v>
      </c>
      <c r="M238" s="50">
        <f t="shared" si="14"/>
        <v>22129.840000000004</v>
      </c>
      <c r="N238" s="51">
        <f t="shared" si="15"/>
        <v>0.29016127209299708</v>
      </c>
    </row>
    <row r="239" spans="1:14" ht="15">
      <c r="A239" s="48">
        <f>Raw_Data!A239</f>
        <v>238</v>
      </c>
      <c r="B239" s="49">
        <f>Raw_Data!B239</f>
        <v>46006</v>
      </c>
      <c r="C239" s="48" t="str">
        <f>Raw_Data!C239</f>
        <v>US</v>
      </c>
      <c r="D239" s="48" t="str">
        <f>Raw_Data!D239</f>
        <v>Services</v>
      </c>
      <c r="E239" s="48" t="str">
        <f>Raw_Data!E239</f>
        <v>Mid-Market</v>
      </c>
      <c r="F239" s="48" t="str">
        <f>Raw_Data!F239</f>
        <v>Partner</v>
      </c>
      <c r="G239" s="50">
        <f>Raw_Data!G239</f>
        <v>219</v>
      </c>
      <c r="H239" s="50">
        <f>Raw_Data!H239</f>
        <v>376.85</v>
      </c>
      <c r="I239" s="50">
        <f>Raw_Data!I239</f>
        <v>82530.149999999994</v>
      </c>
      <c r="J239" s="50">
        <f>Raw_Data!J239</f>
        <v>46588.4</v>
      </c>
      <c r="K239" s="48" t="str">
        <f t="shared" si="12"/>
        <v>2025-12</v>
      </c>
      <c r="L239" s="48" t="str">
        <f t="shared" si="13"/>
        <v>Q4-2025</v>
      </c>
      <c r="M239" s="50">
        <f t="shared" si="14"/>
        <v>35941.749999999993</v>
      </c>
      <c r="N239" s="51">
        <f t="shared" si="15"/>
        <v>0.4354984208801268</v>
      </c>
    </row>
    <row r="240" spans="1:14" ht="15">
      <c r="A240" s="48">
        <f>Raw_Data!A240</f>
        <v>239</v>
      </c>
      <c r="B240" s="49">
        <f>Raw_Data!B240</f>
        <v>46012</v>
      </c>
      <c r="C240" s="48" t="str">
        <f>Raw_Data!C240</f>
        <v>US</v>
      </c>
      <c r="D240" s="48" t="str">
        <f>Raw_Data!D240</f>
        <v>Software</v>
      </c>
      <c r="E240" s="48" t="str">
        <f>Raw_Data!E240</f>
        <v>Public Sector</v>
      </c>
      <c r="F240" s="48" t="str">
        <f>Raw_Data!F240</f>
        <v>Partner</v>
      </c>
      <c r="G240" s="50">
        <f>Raw_Data!G240</f>
        <v>66</v>
      </c>
      <c r="H240" s="50">
        <f>Raw_Data!H240</f>
        <v>540.65</v>
      </c>
      <c r="I240" s="50">
        <f>Raw_Data!I240</f>
        <v>35682.9</v>
      </c>
      <c r="J240" s="50">
        <f>Raw_Data!J240</f>
        <v>15591.37</v>
      </c>
      <c r="K240" s="48" t="str">
        <f t="shared" si="12"/>
        <v>2025-12</v>
      </c>
      <c r="L240" s="48" t="str">
        <f t="shared" si="13"/>
        <v>Q4-2025</v>
      </c>
      <c r="M240" s="50">
        <f t="shared" si="14"/>
        <v>20091.53</v>
      </c>
      <c r="N240" s="51">
        <f t="shared" si="15"/>
        <v>0.56305765506727301</v>
      </c>
    </row>
    <row r="241" spans="1:14" ht="15">
      <c r="A241" s="48">
        <f>Raw_Data!A241</f>
        <v>240</v>
      </c>
      <c r="B241" s="49">
        <f>Raw_Data!B241</f>
        <v>46013</v>
      </c>
      <c r="C241" s="48" t="str">
        <f>Raw_Data!C241</f>
        <v>US</v>
      </c>
      <c r="D241" s="48" t="str">
        <f>Raw_Data!D241</f>
        <v>Software</v>
      </c>
      <c r="E241" s="48" t="str">
        <f>Raw_Data!E241</f>
        <v>Public Sector</v>
      </c>
      <c r="F241" s="48" t="str">
        <f>Raw_Data!F241</f>
        <v>Partner</v>
      </c>
      <c r="G241" s="50">
        <f>Raw_Data!G241</f>
        <v>196</v>
      </c>
      <c r="H241" s="50">
        <f>Raw_Data!H241</f>
        <v>519.73</v>
      </c>
      <c r="I241" s="50">
        <f>Raw_Data!I241</f>
        <v>101867.08</v>
      </c>
      <c r="J241" s="50">
        <f>Raw_Data!J241</f>
        <v>41414.85</v>
      </c>
      <c r="K241" s="48" t="str">
        <f t="shared" si="12"/>
        <v>2025-12</v>
      </c>
      <c r="L241" s="48" t="str">
        <f t="shared" si="13"/>
        <v>Q4-2025</v>
      </c>
      <c r="M241" s="50">
        <f t="shared" si="14"/>
        <v>60452.23</v>
      </c>
      <c r="N241" s="51">
        <f t="shared" si="15"/>
        <v>0.59344225828403052</v>
      </c>
    </row>
    <row r="242" spans="1:14" ht="15">
      <c r="A242" s="48">
        <f>Raw_Data!A242</f>
        <v>241</v>
      </c>
      <c r="B242" s="49">
        <f>Raw_Data!B242</f>
        <v>46015</v>
      </c>
      <c r="C242" s="48" t="str">
        <f>Raw_Data!C242</f>
        <v>APAC</v>
      </c>
      <c r="D242" s="48" t="str">
        <f>Raw_Data!D242</f>
        <v>Training</v>
      </c>
      <c r="E242" s="48" t="str">
        <f>Raw_Data!E242</f>
        <v>SMB</v>
      </c>
      <c r="F242" s="48" t="str">
        <f>Raw_Data!F242</f>
        <v>Online</v>
      </c>
      <c r="G242" s="50">
        <f>Raw_Data!G242</f>
        <v>105</v>
      </c>
      <c r="H242" s="50">
        <f>Raw_Data!H242</f>
        <v>166.97</v>
      </c>
      <c r="I242" s="50">
        <f>Raw_Data!I242</f>
        <v>17531.849999999999</v>
      </c>
      <c r="J242" s="50">
        <f>Raw_Data!J242</f>
        <v>8154.7</v>
      </c>
      <c r="K242" s="48" t="str">
        <f t="shared" si="12"/>
        <v>2025-12</v>
      </c>
      <c r="L242" s="48" t="str">
        <f t="shared" si="13"/>
        <v>Q4-2025</v>
      </c>
      <c r="M242" s="50">
        <f t="shared" si="14"/>
        <v>9377.1499999999978</v>
      </c>
      <c r="N242" s="51">
        <f t="shared" si="15"/>
        <v>0.5348636909396326</v>
      </c>
    </row>
    <row r="243" spans="1:14" ht="15">
      <c r="A243" s="48">
        <f>Raw_Data!A243</f>
        <v>242</v>
      </c>
      <c r="B243" s="49">
        <f>Raw_Data!B243</f>
        <v>46022</v>
      </c>
      <c r="C243" s="48" t="str">
        <f>Raw_Data!C243</f>
        <v>US</v>
      </c>
      <c r="D243" s="48" t="str">
        <f>Raw_Data!D243</f>
        <v>Hardware</v>
      </c>
      <c r="E243" s="48" t="str">
        <f>Raw_Data!E243</f>
        <v>Public Sector</v>
      </c>
      <c r="F243" s="48" t="str">
        <f>Raw_Data!F243</f>
        <v>Online</v>
      </c>
      <c r="G243" s="50">
        <f>Raw_Data!G243</f>
        <v>165</v>
      </c>
      <c r="H243" s="50">
        <f>Raw_Data!H243</f>
        <v>633.19000000000005</v>
      </c>
      <c r="I243" s="50">
        <f>Raw_Data!I243</f>
        <v>104476.35</v>
      </c>
      <c r="J243" s="50">
        <f>Raw_Data!J243</f>
        <v>69354.02</v>
      </c>
      <c r="K243" s="48" t="str">
        <f t="shared" si="12"/>
        <v>2025-12</v>
      </c>
      <c r="L243" s="48" t="str">
        <f t="shared" si="13"/>
        <v>Q4-2025</v>
      </c>
      <c r="M243" s="50">
        <f t="shared" si="14"/>
        <v>35122.33</v>
      </c>
      <c r="N243" s="51">
        <f t="shared" si="15"/>
        <v>0.33617493337008808</v>
      </c>
    </row>
    <row r="244" spans="1:14" ht="15">
      <c r="A244" s="48">
        <f>Raw_Data!A244</f>
        <v>243</v>
      </c>
      <c r="B244" s="49">
        <f>Raw_Data!B244</f>
        <v>46021</v>
      </c>
      <c r="C244" s="48" t="str">
        <f>Raw_Data!C244</f>
        <v>EU</v>
      </c>
      <c r="D244" s="48" t="str">
        <f>Raw_Data!D244</f>
        <v>Hardware</v>
      </c>
      <c r="E244" s="48" t="str">
        <f>Raw_Data!E244</f>
        <v>Enterprise</v>
      </c>
      <c r="F244" s="48" t="str">
        <f>Raw_Data!F244</f>
        <v>Online</v>
      </c>
      <c r="G244" s="50">
        <f>Raw_Data!G244</f>
        <v>159</v>
      </c>
      <c r="H244" s="50">
        <f>Raw_Data!H244</f>
        <v>677.91</v>
      </c>
      <c r="I244" s="50">
        <f>Raw_Data!I244</f>
        <v>107787.69</v>
      </c>
      <c r="J244" s="50">
        <f>Raw_Data!J244</f>
        <v>75524.3</v>
      </c>
      <c r="K244" s="48" t="str">
        <f t="shared" si="12"/>
        <v>2025-12</v>
      </c>
      <c r="L244" s="48" t="str">
        <f t="shared" si="13"/>
        <v>Q4-2025</v>
      </c>
      <c r="M244" s="50">
        <f t="shared" si="14"/>
        <v>32263.39</v>
      </c>
      <c r="N244" s="51">
        <f t="shared" si="15"/>
        <v>0.29932351273137031</v>
      </c>
    </row>
    <row r="245" spans="1:14" ht="15">
      <c r="A245" s="48">
        <f>Raw_Data!A245</f>
        <v>244</v>
      </c>
      <c r="B245" s="49">
        <f>Raw_Data!B245</f>
        <v>46025</v>
      </c>
      <c r="C245" s="48" t="str">
        <f>Raw_Data!C245</f>
        <v>EU</v>
      </c>
      <c r="D245" s="48" t="str">
        <f>Raw_Data!D245</f>
        <v>Software</v>
      </c>
      <c r="E245" s="48" t="str">
        <f>Raw_Data!E245</f>
        <v>Public Sector</v>
      </c>
      <c r="F245" s="48" t="str">
        <f>Raw_Data!F245</f>
        <v>Partner</v>
      </c>
      <c r="G245" s="50">
        <f>Raw_Data!G245</f>
        <v>42</v>
      </c>
      <c r="H245" s="50">
        <f>Raw_Data!H245</f>
        <v>500.15</v>
      </c>
      <c r="I245" s="50">
        <f>Raw_Data!I245</f>
        <v>21006.3</v>
      </c>
      <c r="J245" s="50">
        <f>Raw_Data!J245</f>
        <v>8825.23</v>
      </c>
      <c r="K245" s="48" t="str">
        <f t="shared" si="12"/>
        <v>2026-01</v>
      </c>
      <c r="L245" s="48" t="str">
        <f t="shared" si="13"/>
        <v>Q1-2026</v>
      </c>
      <c r="M245" s="50">
        <f t="shared" si="14"/>
        <v>12181.07</v>
      </c>
      <c r="N245" s="51">
        <f t="shared" si="15"/>
        <v>0.57987698928416709</v>
      </c>
    </row>
    <row r="246" spans="1:14" ht="15">
      <c r="A246" s="48">
        <f>Raw_Data!A246</f>
        <v>245</v>
      </c>
      <c r="B246" s="49">
        <f>Raw_Data!B246</f>
        <v>46027</v>
      </c>
      <c r="C246" s="48" t="str">
        <f>Raw_Data!C246</f>
        <v>EU</v>
      </c>
      <c r="D246" s="48" t="str">
        <f>Raw_Data!D246</f>
        <v>Hardware</v>
      </c>
      <c r="E246" s="48" t="str">
        <f>Raw_Data!E246</f>
        <v>SMB</v>
      </c>
      <c r="F246" s="48" t="str">
        <f>Raw_Data!F246</f>
        <v>Partner</v>
      </c>
      <c r="G246" s="50">
        <f>Raw_Data!G246</f>
        <v>86</v>
      </c>
      <c r="H246" s="50">
        <f>Raw_Data!H246</f>
        <v>504.79</v>
      </c>
      <c r="I246" s="50">
        <f>Raw_Data!I246</f>
        <v>43411.94</v>
      </c>
      <c r="J246" s="50">
        <f>Raw_Data!J246</f>
        <v>28275.81</v>
      </c>
      <c r="K246" s="48" t="str">
        <f t="shared" si="12"/>
        <v>2026-01</v>
      </c>
      <c r="L246" s="48" t="str">
        <f t="shared" si="13"/>
        <v>Q1-2026</v>
      </c>
      <c r="M246" s="50">
        <f t="shared" si="14"/>
        <v>15136.130000000001</v>
      </c>
      <c r="N246" s="51">
        <f t="shared" si="15"/>
        <v>0.3486628333126785</v>
      </c>
    </row>
    <row r="247" spans="1:14" ht="15">
      <c r="A247" s="48">
        <f>Raw_Data!A247</f>
        <v>246</v>
      </c>
      <c r="B247" s="49">
        <f>Raw_Data!B247</f>
        <v>46030</v>
      </c>
      <c r="C247" s="48" t="str">
        <f>Raw_Data!C247</f>
        <v>EU</v>
      </c>
      <c r="D247" s="48" t="str">
        <f>Raw_Data!D247</f>
        <v>Training</v>
      </c>
      <c r="E247" s="48" t="str">
        <f>Raw_Data!E247</f>
        <v>Mid-Market</v>
      </c>
      <c r="F247" s="48" t="str">
        <f>Raw_Data!F247</f>
        <v>Partner</v>
      </c>
      <c r="G247" s="50">
        <f>Raw_Data!G247</f>
        <v>214</v>
      </c>
      <c r="H247" s="50">
        <f>Raw_Data!H247</f>
        <v>205.48</v>
      </c>
      <c r="I247" s="50">
        <f>Raw_Data!I247</f>
        <v>43972.72</v>
      </c>
      <c r="J247" s="50">
        <f>Raw_Data!J247</f>
        <v>20065.28</v>
      </c>
      <c r="K247" s="48" t="str">
        <f t="shared" si="12"/>
        <v>2026-01</v>
      </c>
      <c r="L247" s="48" t="str">
        <f t="shared" si="13"/>
        <v>Q1-2026</v>
      </c>
      <c r="M247" s="50">
        <f t="shared" si="14"/>
        <v>23907.440000000002</v>
      </c>
      <c r="N247" s="51">
        <f t="shared" si="15"/>
        <v>0.54368799564821102</v>
      </c>
    </row>
    <row r="248" spans="1:14" ht="15">
      <c r="A248" s="48">
        <f>Raw_Data!A248</f>
        <v>247</v>
      </c>
      <c r="B248" s="49">
        <f>Raw_Data!B248</f>
        <v>46036</v>
      </c>
      <c r="C248" s="48" t="str">
        <f>Raw_Data!C248</f>
        <v>EU</v>
      </c>
      <c r="D248" s="48" t="str">
        <f>Raw_Data!D248</f>
        <v>Hardware</v>
      </c>
      <c r="E248" s="48" t="str">
        <f>Raw_Data!E248</f>
        <v>SMB</v>
      </c>
      <c r="F248" s="48" t="str">
        <f>Raw_Data!F248</f>
        <v>Partner</v>
      </c>
      <c r="G248" s="50">
        <f>Raw_Data!G248</f>
        <v>66</v>
      </c>
      <c r="H248" s="50">
        <f>Raw_Data!H248</f>
        <v>521.9</v>
      </c>
      <c r="I248" s="50">
        <f>Raw_Data!I248</f>
        <v>34445.4</v>
      </c>
      <c r="J248" s="50">
        <f>Raw_Data!J248</f>
        <v>23236.29</v>
      </c>
      <c r="K248" s="48" t="str">
        <f t="shared" si="12"/>
        <v>2026-01</v>
      </c>
      <c r="L248" s="48" t="str">
        <f t="shared" si="13"/>
        <v>Q1-2026</v>
      </c>
      <c r="M248" s="50">
        <f t="shared" si="14"/>
        <v>11209.11</v>
      </c>
      <c r="N248" s="51">
        <f t="shared" si="15"/>
        <v>0.32541674650316155</v>
      </c>
    </row>
    <row r="249" spans="1:14" ht="15">
      <c r="A249" s="48">
        <f>Raw_Data!A249</f>
        <v>248</v>
      </c>
      <c r="B249" s="49">
        <f>Raw_Data!B249</f>
        <v>46036</v>
      </c>
      <c r="C249" s="48" t="str">
        <f>Raw_Data!C249</f>
        <v>UK</v>
      </c>
      <c r="D249" s="48" t="str">
        <f>Raw_Data!D249</f>
        <v>Software</v>
      </c>
      <c r="E249" s="48" t="str">
        <f>Raw_Data!E249</f>
        <v>Enterprise</v>
      </c>
      <c r="F249" s="48" t="str">
        <f>Raw_Data!F249</f>
        <v>Online</v>
      </c>
      <c r="G249" s="50">
        <f>Raw_Data!G249</f>
        <v>132</v>
      </c>
      <c r="H249" s="50">
        <f>Raw_Data!H249</f>
        <v>541.16</v>
      </c>
      <c r="I249" s="50">
        <f>Raw_Data!I249</f>
        <v>71433.119999999995</v>
      </c>
      <c r="J249" s="50">
        <f>Raw_Data!J249</f>
        <v>31785.19</v>
      </c>
      <c r="K249" s="48" t="str">
        <f t="shared" si="12"/>
        <v>2026-01</v>
      </c>
      <c r="L249" s="48" t="str">
        <f t="shared" si="13"/>
        <v>Q1-2026</v>
      </c>
      <c r="M249" s="50">
        <f t="shared" si="14"/>
        <v>39647.929999999993</v>
      </c>
      <c r="N249" s="51">
        <f t="shared" si="15"/>
        <v>0.55503567532819509</v>
      </c>
    </row>
    <row r="250" spans="1:14" ht="15">
      <c r="A250" s="48">
        <f>Raw_Data!A250</f>
        <v>249</v>
      </c>
      <c r="B250" s="49">
        <f>Raw_Data!B250</f>
        <v>46039</v>
      </c>
      <c r="C250" s="48" t="str">
        <f>Raw_Data!C250</f>
        <v>APAC</v>
      </c>
      <c r="D250" s="48" t="str">
        <f>Raw_Data!D250</f>
        <v>Software</v>
      </c>
      <c r="E250" s="48" t="str">
        <f>Raw_Data!E250</f>
        <v>SMB</v>
      </c>
      <c r="F250" s="48" t="str">
        <f>Raw_Data!F250</f>
        <v>Partner</v>
      </c>
      <c r="G250" s="50">
        <f>Raw_Data!G250</f>
        <v>96</v>
      </c>
      <c r="H250" s="50">
        <f>Raw_Data!H250</f>
        <v>363.64</v>
      </c>
      <c r="I250" s="50">
        <f>Raw_Data!I250</f>
        <v>34909.440000000002</v>
      </c>
      <c r="J250" s="50">
        <f>Raw_Data!J250</f>
        <v>15068.35</v>
      </c>
      <c r="K250" s="48" t="str">
        <f t="shared" si="12"/>
        <v>2026-01</v>
      </c>
      <c r="L250" s="48" t="str">
        <f t="shared" si="13"/>
        <v>Q1-2026</v>
      </c>
      <c r="M250" s="50">
        <f t="shared" si="14"/>
        <v>19841.090000000004</v>
      </c>
      <c r="N250" s="51">
        <f t="shared" si="15"/>
        <v>0.5683588737029297</v>
      </c>
    </row>
    <row r="251" spans="1:14" ht="15">
      <c r="A251" s="48">
        <f>Raw_Data!A251</f>
        <v>250</v>
      </c>
      <c r="B251" s="49">
        <f>Raw_Data!B251</f>
        <v>46046</v>
      </c>
      <c r="C251" s="48" t="str">
        <f>Raw_Data!C251</f>
        <v>APAC</v>
      </c>
      <c r="D251" s="48" t="str">
        <f>Raw_Data!D251</f>
        <v>Services</v>
      </c>
      <c r="E251" s="48" t="str">
        <f>Raw_Data!E251</f>
        <v>Public Sector</v>
      </c>
      <c r="F251" s="48" t="str">
        <f>Raw_Data!F251</f>
        <v>Direct</v>
      </c>
      <c r="G251" s="50">
        <f>Raw_Data!G251</f>
        <v>109</v>
      </c>
      <c r="H251" s="50">
        <f>Raw_Data!H251</f>
        <v>341.04</v>
      </c>
      <c r="I251" s="50">
        <f>Raw_Data!I251</f>
        <v>37173.360000000001</v>
      </c>
      <c r="J251" s="50">
        <f>Raw_Data!J251</f>
        <v>21726.400000000001</v>
      </c>
      <c r="K251" s="48" t="str">
        <f t="shared" si="12"/>
        <v>2026-01</v>
      </c>
      <c r="L251" s="48" t="str">
        <f t="shared" si="13"/>
        <v>Q1-2026</v>
      </c>
      <c r="M251" s="50">
        <f t="shared" si="14"/>
        <v>15446.96</v>
      </c>
      <c r="N251" s="51">
        <f t="shared" si="15"/>
        <v>0.41553843935549539</v>
      </c>
    </row>
    <row r="252" spans="1:14" ht="15">
      <c r="A252" s="48">
        <f>Raw_Data!A252</f>
        <v>251</v>
      </c>
      <c r="B252" s="49">
        <f>Raw_Data!B252</f>
        <v>46046</v>
      </c>
      <c r="C252" s="48" t="str">
        <f>Raw_Data!C252</f>
        <v>EU</v>
      </c>
      <c r="D252" s="48" t="str">
        <f>Raw_Data!D252</f>
        <v>Software</v>
      </c>
      <c r="E252" s="48" t="str">
        <f>Raw_Data!E252</f>
        <v>Enterprise</v>
      </c>
      <c r="F252" s="48" t="str">
        <f>Raw_Data!F252</f>
        <v>Partner</v>
      </c>
      <c r="G252" s="50">
        <f>Raw_Data!G252</f>
        <v>30</v>
      </c>
      <c r="H252" s="50">
        <f>Raw_Data!H252</f>
        <v>599.46</v>
      </c>
      <c r="I252" s="50">
        <f>Raw_Data!I252</f>
        <v>17983.8</v>
      </c>
      <c r="J252" s="50">
        <f>Raw_Data!J252</f>
        <v>8071.08</v>
      </c>
      <c r="K252" s="48" t="str">
        <f t="shared" si="12"/>
        <v>2026-01</v>
      </c>
      <c r="L252" s="48" t="str">
        <f t="shared" si="13"/>
        <v>Q1-2026</v>
      </c>
      <c r="M252" s="50">
        <f t="shared" si="14"/>
        <v>9912.7199999999993</v>
      </c>
      <c r="N252" s="51">
        <f t="shared" si="15"/>
        <v>0.55120274914089351</v>
      </c>
    </row>
    <row r="253" spans="1:14" ht="15">
      <c r="A253" s="48">
        <f>Raw_Data!A253</f>
        <v>252</v>
      </c>
      <c r="B253" s="49">
        <f>Raw_Data!B253</f>
        <v>46048</v>
      </c>
      <c r="C253" s="48" t="str">
        <f>Raw_Data!C253</f>
        <v>US</v>
      </c>
      <c r="D253" s="48" t="str">
        <f>Raw_Data!D253</f>
        <v>Training</v>
      </c>
      <c r="E253" s="48" t="str">
        <f>Raw_Data!E253</f>
        <v>SMB</v>
      </c>
      <c r="F253" s="48" t="str">
        <f>Raw_Data!F253</f>
        <v>Direct</v>
      </c>
      <c r="G253" s="50">
        <f>Raw_Data!G253</f>
        <v>52</v>
      </c>
      <c r="H253" s="50">
        <f>Raw_Data!H253</f>
        <v>198.62</v>
      </c>
      <c r="I253" s="50">
        <f>Raw_Data!I253</f>
        <v>10328.24</v>
      </c>
      <c r="J253" s="50">
        <f>Raw_Data!J253</f>
        <v>4651.59</v>
      </c>
      <c r="K253" s="48" t="str">
        <f t="shared" si="12"/>
        <v>2026-01</v>
      </c>
      <c r="L253" s="48" t="str">
        <f t="shared" si="13"/>
        <v>Q1-2026</v>
      </c>
      <c r="M253" s="50">
        <f t="shared" si="14"/>
        <v>5676.65</v>
      </c>
      <c r="N253" s="51">
        <f t="shared" si="15"/>
        <v>0.54962413731671611</v>
      </c>
    </row>
    <row r="254" spans="1:14" ht="15">
      <c r="A254" s="48">
        <f>Raw_Data!A254</f>
        <v>253</v>
      </c>
      <c r="B254" s="49">
        <f>Raw_Data!B254</f>
        <v>46052</v>
      </c>
      <c r="C254" s="48" t="str">
        <f>Raw_Data!C254</f>
        <v>US</v>
      </c>
      <c r="D254" s="48" t="str">
        <f>Raw_Data!D254</f>
        <v>Training</v>
      </c>
      <c r="E254" s="48" t="str">
        <f>Raw_Data!E254</f>
        <v>SMB</v>
      </c>
      <c r="F254" s="48" t="str">
        <f>Raw_Data!F254</f>
        <v>Partner</v>
      </c>
      <c r="G254" s="50">
        <f>Raw_Data!G254</f>
        <v>97</v>
      </c>
      <c r="H254" s="50">
        <f>Raw_Data!H254</f>
        <v>200.57</v>
      </c>
      <c r="I254" s="50">
        <f>Raw_Data!I254</f>
        <v>19455.29</v>
      </c>
      <c r="J254" s="50">
        <f>Raw_Data!J254</f>
        <v>9248.1299999999992</v>
      </c>
      <c r="K254" s="48" t="str">
        <f t="shared" si="12"/>
        <v>2026-01</v>
      </c>
      <c r="L254" s="48" t="str">
        <f t="shared" si="13"/>
        <v>Q1-2026</v>
      </c>
      <c r="M254" s="50">
        <f t="shared" si="14"/>
        <v>10207.160000000002</v>
      </c>
      <c r="N254" s="51">
        <f t="shared" si="15"/>
        <v>0.5246470240227723</v>
      </c>
    </row>
    <row r="255" spans="1:14" ht="15">
      <c r="A255" s="48">
        <f>Raw_Data!A255</f>
        <v>254</v>
      </c>
      <c r="B255" s="49">
        <f>Raw_Data!B255</f>
        <v>46056</v>
      </c>
      <c r="C255" s="48" t="str">
        <f>Raw_Data!C255</f>
        <v>APAC</v>
      </c>
      <c r="D255" s="48" t="str">
        <f>Raw_Data!D255</f>
        <v>Training</v>
      </c>
      <c r="E255" s="48" t="str">
        <f>Raw_Data!E255</f>
        <v>Mid-Market</v>
      </c>
      <c r="F255" s="48" t="str">
        <f>Raw_Data!F255</f>
        <v>Partner</v>
      </c>
      <c r="G255" s="50">
        <f>Raw_Data!G255</f>
        <v>76</v>
      </c>
      <c r="H255" s="50">
        <f>Raw_Data!H255</f>
        <v>202.05</v>
      </c>
      <c r="I255" s="50">
        <f>Raw_Data!I255</f>
        <v>15355.8</v>
      </c>
      <c r="J255" s="50">
        <f>Raw_Data!J255</f>
        <v>7822.7</v>
      </c>
      <c r="K255" s="48" t="str">
        <f t="shared" si="12"/>
        <v>2026-02</v>
      </c>
      <c r="L255" s="48" t="str">
        <f t="shared" si="13"/>
        <v>Q1-2026</v>
      </c>
      <c r="M255" s="50">
        <f t="shared" si="14"/>
        <v>7533.0999999999995</v>
      </c>
      <c r="N255" s="51">
        <f t="shared" si="15"/>
        <v>0.49057033824353014</v>
      </c>
    </row>
    <row r="256" spans="1:14" ht="15">
      <c r="A256" s="48">
        <f>Raw_Data!A256</f>
        <v>255</v>
      </c>
      <c r="B256" s="49">
        <f>Raw_Data!B256</f>
        <v>46057</v>
      </c>
      <c r="C256" s="48" t="str">
        <f>Raw_Data!C256</f>
        <v>APAC</v>
      </c>
      <c r="D256" s="48" t="str">
        <f>Raw_Data!D256</f>
        <v>Services</v>
      </c>
      <c r="E256" s="48" t="str">
        <f>Raw_Data!E256</f>
        <v>SMB</v>
      </c>
      <c r="F256" s="48" t="str">
        <f>Raw_Data!F256</f>
        <v>Direct</v>
      </c>
      <c r="G256" s="50">
        <f>Raw_Data!G256</f>
        <v>71</v>
      </c>
      <c r="H256" s="50">
        <f>Raw_Data!H256</f>
        <v>259</v>
      </c>
      <c r="I256" s="50">
        <f>Raw_Data!I256</f>
        <v>18389</v>
      </c>
      <c r="J256" s="50">
        <f>Raw_Data!J256</f>
        <v>10301.75</v>
      </c>
      <c r="K256" s="48" t="str">
        <f t="shared" si="12"/>
        <v>2026-02</v>
      </c>
      <c r="L256" s="48" t="str">
        <f t="shared" si="13"/>
        <v>Q1-2026</v>
      </c>
      <c r="M256" s="50">
        <f t="shared" si="14"/>
        <v>8087.25</v>
      </c>
      <c r="N256" s="51">
        <f t="shared" si="15"/>
        <v>0.43978737288596442</v>
      </c>
    </row>
    <row r="257" spans="1:14" ht="15">
      <c r="A257" s="48">
        <f>Raw_Data!A257</f>
        <v>256</v>
      </c>
      <c r="B257" s="49">
        <f>Raw_Data!B257</f>
        <v>46062</v>
      </c>
      <c r="C257" s="48" t="str">
        <f>Raw_Data!C257</f>
        <v>EU</v>
      </c>
      <c r="D257" s="48" t="str">
        <f>Raw_Data!D257</f>
        <v>Training</v>
      </c>
      <c r="E257" s="48" t="str">
        <f>Raw_Data!E257</f>
        <v>SMB</v>
      </c>
      <c r="F257" s="48" t="str">
        <f>Raw_Data!F257</f>
        <v>Partner</v>
      </c>
      <c r="G257" s="50">
        <f>Raw_Data!G257</f>
        <v>20</v>
      </c>
      <c r="H257" s="50">
        <f>Raw_Data!H257</f>
        <v>197.71</v>
      </c>
      <c r="I257" s="50">
        <f>Raw_Data!I257</f>
        <v>3954.2</v>
      </c>
      <c r="J257" s="50">
        <f>Raw_Data!J257</f>
        <v>1895.65</v>
      </c>
      <c r="K257" s="48" t="str">
        <f t="shared" si="12"/>
        <v>2026-02</v>
      </c>
      <c r="L257" s="48" t="str">
        <f t="shared" si="13"/>
        <v>Q1-2026</v>
      </c>
      <c r="M257" s="50">
        <f t="shared" si="14"/>
        <v>2058.5499999999997</v>
      </c>
      <c r="N257" s="51">
        <f t="shared" si="15"/>
        <v>0.52059835112032771</v>
      </c>
    </row>
    <row r="258" spans="1:14" ht="15">
      <c r="A258" s="48">
        <f>Raw_Data!A258</f>
        <v>257</v>
      </c>
      <c r="B258" s="49">
        <f>Raw_Data!B258</f>
        <v>46065</v>
      </c>
      <c r="C258" s="48" t="str">
        <f>Raw_Data!C258</f>
        <v>US</v>
      </c>
      <c r="D258" s="48" t="str">
        <f>Raw_Data!D258</f>
        <v>Services</v>
      </c>
      <c r="E258" s="48" t="str">
        <f>Raw_Data!E258</f>
        <v>Public Sector</v>
      </c>
      <c r="F258" s="48" t="str">
        <f>Raw_Data!F258</f>
        <v>Direct</v>
      </c>
      <c r="G258" s="50">
        <f>Raw_Data!G258</f>
        <v>175</v>
      </c>
      <c r="H258" s="50">
        <f>Raw_Data!H258</f>
        <v>413.7</v>
      </c>
      <c r="I258" s="50">
        <f>Raw_Data!I258</f>
        <v>72397.5</v>
      </c>
      <c r="J258" s="50">
        <f>Raw_Data!J258</f>
        <v>39208.94</v>
      </c>
      <c r="K258" s="48" t="str">
        <f t="shared" ref="K258:K289" si="16">TEXT(B258,"yyyy-mm")</f>
        <v>2026-02</v>
      </c>
      <c r="L258" s="48" t="str">
        <f t="shared" ref="L258:L289" si="17">"Q"&amp;ROUNDUP(MONTH(B258)/3,0)&amp;"-"&amp;YEAR(B258)</f>
        <v>Q1-2026</v>
      </c>
      <c r="M258" s="50">
        <f t="shared" ref="M258:M289" si="18">I258-J258</f>
        <v>33188.559999999998</v>
      </c>
      <c r="N258" s="51">
        <f t="shared" ref="N258:N321" si="19">IFERROR(M258/I258,0)</f>
        <v>0.45842135432853343</v>
      </c>
    </row>
    <row r="259" spans="1:14" ht="15">
      <c r="A259" s="48">
        <f>Raw_Data!A259</f>
        <v>258</v>
      </c>
      <c r="B259" s="49">
        <f>Raw_Data!B259</f>
        <v>46066</v>
      </c>
      <c r="C259" s="48" t="str">
        <f>Raw_Data!C259</f>
        <v>EU</v>
      </c>
      <c r="D259" s="48" t="str">
        <f>Raw_Data!D259</f>
        <v>Training</v>
      </c>
      <c r="E259" s="48" t="str">
        <f>Raw_Data!E259</f>
        <v>Mid-Market</v>
      </c>
      <c r="F259" s="48" t="str">
        <f>Raw_Data!F259</f>
        <v>Partner</v>
      </c>
      <c r="G259" s="50">
        <f>Raw_Data!G259</f>
        <v>53</v>
      </c>
      <c r="H259" s="50">
        <f>Raw_Data!H259</f>
        <v>211.01</v>
      </c>
      <c r="I259" s="50">
        <f>Raw_Data!I259</f>
        <v>11183.53</v>
      </c>
      <c r="J259" s="50">
        <f>Raw_Data!J259</f>
        <v>5331.92</v>
      </c>
      <c r="K259" s="48" t="str">
        <f t="shared" si="16"/>
        <v>2026-02</v>
      </c>
      <c r="L259" s="48" t="str">
        <f t="shared" si="17"/>
        <v>Q1-2026</v>
      </c>
      <c r="M259" s="50">
        <f t="shared" si="18"/>
        <v>5851.6100000000006</v>
      </c>
      <c r="N259" s="51">
        <f t="shared" si="19"/>
        <v>0.52323461375791014</v>
      </c>
    </row>
    <row r="260" spans="1:14" ht="15">
      <c r="A260" s="48">
        <f>Raw_Data!A260</f>
        <v>259</v>
      </c>
      <c r="B260" s="49">
        <f>Raw_Data!B260</f>
        <v>46070</v>
      </c>
      <c r="C260" s="48" t="str">
        <f>Raw_Data!C260</f>
        <v>UK</v>
      </c>
      <c r="D260" s="48" t="str">
        <f>Raw_Data!D260</f>
        <v>Hardware</v>
      </c>
      <c r="E260" s="48" t="str">
        <f>Raw_Data!E260</f>
        <v>Enterprise</v>
      </c>
      <c r="F260" s="48" t="str">
        <f>Raw_Data!F260</f>
        <v>Partner</v>
      </c>
      <c r="G260" s="50">
        <f>Raw_Data!G260</f>
        <v>220</v>
      </c>
      <c r="H260" s="50">
        <f>Raw_Data!H260</f>
        <v>664.25</v>
      </c>
      <c r="I260" s="50">
        <f>Raw_Data!I260</f>
        <v>146135</v>
      </c>
      <c r="J260" s="50">
        <f>Raw_Data!J260</f>
        <v>99651.71</v>
      </c>
      <c r="K260" s="48" t="str">
        <f t="shared" si="16"/>
        <v>2026-02</v>
      </c>
      <c r="L260" s="48" t="str">
        <f t="shared" si="17"/>
        <v>Q1-2026</v>
      </c>
      <c r="M260" s="50">
        <f t="shared" si="18"/>
        <v>46483.289999999994</v>
      </c>
      <c r="N260" s="51">
        <f t="shared" si="19"/>
        <v>0.31808457932733425</v>
      </c>
    </row>
    <row r="261" spans="1:14" ht="15">
      <c r="A261" s="48">
        <f>Raw_Data!A261</f>
        <v>260</v>
      </c>
      <c r="B261" s="49">
        <f>Raw_Data!B261</f>
        <v>46074</v>
      </c>
      <c r="C261" s="48" t="str">
        <f>Raw_Data!C261</f>
        <v>APAC</v>
      </c>
      <c r="D261" s="48" t="str">
        <f>Raw_Data!D261</f>
        <v>Training</v>
      </c>
      <c r="E261" s="48" t="str">
        <f>Raw_Data!E261</f>
        <v>SMB</v>
      </c>
      <c r="F261" s="48" t="str">
        <f>Raw_Data!F261</f>
        <v>Direct</v>
      </c>
      <c r="G261" s="50">
        <f>Raw_Data!G261</f>
        <v>146</v>
      </c>
      <c r="H261" s="50">
        <f>Raw_Data!H261</f>
        <v>152.1</v>
      </c>
      <c r="I261" s="50">
        <f>Raw_Data!I261</f>
        <v>22206.6</v>
      </c>
      <c r="J261" s="50">
        <f>Raw_Data!J261</f>
        <v>11284.89</v>
      </c>
      <c r="K261" s="48" t="str">
        <f t="shared" si="16"/>
        <v>2026-02</v>
      </c>
      <c r="L261" s="48" t="str">
        <f t="shared" si="17"/>
        <v>Q1-2026</v>
      </c>
      <c r="M261" s="50">
        <f t="shared" si="18"/>
        <v>10921.71</v>
      </c>
      <c r="N261" s="51">
        <f t="shared" si="19"/>
        <v>0.49182270135905543</v>
      </c>
    </row>
    <row r="262" spans="1:14" ht="15">
      <c r="A262" s="48">
        <f>Raw_Data!A262</f>
        <v>261</v>
      </c>
      <c r="B262" s="49">
        <f>Raw_Data!B262</f>
        <v>46076</v>
      </c>
      <c r="C262" s="48" t="str">
        <f>Raw_Data!C262</f>
        <v>APAC</v>
      </c>
      <c r="D262" s="48" t="str">
        <f>Raw_Data!D262</f>
        <v>Hardware</v>
      </c>
      <c r="E262" s="48" t="str">
        <f>Raw_Data!E262</f>
        <v>SMB</v>
      </c>
      <c r="F262" s="48" t="str">
        <f>Raw_Data!F262</f>
        <v>Partner</v>
      </c>
      <c r="G262" s="50">
        <f>Raw_Data!G262</f>
        <v>208</v>
      </c>
      <c r="H262" s="50">
        <f>Raw_Data!H262</f>
        <v>440.36</v>
      </c>
      <c r="I262" s="50">
        <f>Raw_Data!I262</f>
        <v>91594.880000000005</v>
      </c>
      <c r="J262" s="50">
        <f>Raw_Data!J262</f>
        <v>61705.47</v>
      </c>
      <c r="K262" s="48" t="str">
        <f t="shared" si="16"/>
        <v>2026-02</v>
      </c>
      <c r="L262" s="48" t="str">
        <f t="shared" si="17"/>
        <v>Q1-2026</v>
      </c>
      <c r="M262" s="50">
        <f t="shared" si="18"/>
        <v>29889.410000000003</v>
      </c>
      <c r="N262" s="51">
        <f t="shared" si="19"/>
        <v>0.32632184244359513</v>
      </c>
    </row>
    <row r="263" spans="1:14" ht="15">
      <c r="A263" s="48">
        <f>Raw_Data!A263</f>
        <v>262</v>
      </c>
      <c r="B263" s="49">
        <f>Raw_Data!B263</f>
        <v>46080</v>
      </c>
      <c r="C263" s="48" t="str">
        <f>Raw_Data!C263</f>
        <v>EU</v>
      </c>
      <c r="D263" s="48" t="str">
        <f>Raw_Data!D263</f>
        <v>Services</v>
      </c>
      <c r="E263" s="48" t="str">
        <f>Raw_Data!E263</f>
        <v>SMB</v>
      </c>
      <c r="F263" s="48" t="str">
        <f>Raw_Data!F263</f>
        <v>Partner</v>
      </c>
      <c r="G263" s="50">
        <f>Raw_Data!G263</f>
        <v>89</v>
      </c>
      <c r="H263" s="50">
        <f>Raw_Data!H263</f>
        <v>312</v>
      </c>
      <c r="I263" s="50">
        <f>Raw_Data!I263</f>
        <v>27768</v>
      </c>
      <c r="J263" s="50">
        <f>Raw_Data!J263</f>
        <v>14732.11</v>
      </c>
      <c r="K263" s="48" t="str">
        <f t="shared" si="16"/>
        <v>2026-02</v>
      </c>
      <c r="L263" s="48" t="str">
        <f t="shared" si="17"/>
        <v>Q1-2026</v>
      </c>
      <c r="M263" s="50">
        <f t="shared" si="18"/>
        <v>13035.89</v>
      </c>
      <c r="N263" s="51">
        <f t="shared" si="19"/>
        <v>0.46945728896571592</v>
      </c>
    </row>
    <row r="264" spans="1:14" ht="15">
      <c r="A264" s="48">
        <f>Raw_Data!A264</f>
        <v>263</v>
      </c>
      <c r="B264" s="49">
        <f>Raw_Data!B264</f>
        <v>46083</v>
      </c>
      <c r="C264" s="48" t="str">
        <f>Raw_Data!C264</f>
        <v>EU</v>
      </c>
      <c r="D264" s="48" t="str">
        <f>Raw_Data!D264</f>
        <v>Software</v>
      </c>
      <c r="E264" s="48" t="str">
        <f>Raw_Data!E264</f>
        <v>Public Sector</v>
      </c>
      <c r="F264" s="48" t="str">
        <f>Raw_Data!F264</f>
        <v>Online</v>
      </c>
      <c r="G264" s="50">
        <f>Raw_Data!G264</f>
        <v>102</v>
      </c>
      <c r="H264" s="50">
        <f>Raw_Data!H264</f>
        <v>524.57000000000005</v>
      </c>
      <c r="I264" s="50">
        <f>Raw_Data!I264</f>
        <v>53506.14</v>
      </c>
      <c r="J264" s="50">
        <f>Raw_Data!J264</f>
        <v>22408.13</v>
      </c>
      <c r="K264" s="48" t="str">
        <f t="shared" si="16"/>
        <v>2026-03</v>
      </c>
      <c r="L264" s="48" t="str">
        <f t="shared" si="17"/>
        <v>Q1-2026</v>
      </c>
      <c r="M264" s="50">
        <f t="shared" si="18"/>
        <v>31098.01</v>
      </c>
      <c r="N264" s="51">
        <f t="shared" si="19"/>
        <v>0.5812045122298114</v>
      </c>
    </row>
    <row r="265" spans="1:14" ht="15">
      <c r="A265" s="48">
        <f>Raw_Data!A265</f>
        <v>264</v>
      </c>
      <c r="B265" s="49">
        <f>Raw_Data!B265</f>
        <v>46088</v>
      </c>
      <c r="C265" s="48" t="str">
        <f>Raw_Data!C265</f>
        <v>US</v>
      </c>
      <c r="D265" s="48" t="str">
        <f>Raw_Data!D265</f>
        <v>Services</v>
      </c>
      <c r="E265" s="48" t="str">
        <f>Raw_Data!E265</f>
        <v>Enterprise</v>
      </c>
      <c r="F265" s="48" t="str">
        <f>Raw_Data!F265</f>
        <v>Partner</v>
      </c>
      <c r="G265" s="50">
        <f>Raw_Data!G265</f>
        <v>25</v>
      </c>
      <c r="H265" s="50">
        <f>Raw_Data!H265</f>
        <v>504.71</v>
      </c>
      <c r="I265" s="50">
        <f>Raw_Data!I265</f>
        <v>12617.75</v>
      </c>
      <c r="J265" s="50">
        <f>Raw_Data!J265</f>
        <v>6740.24</v>
      </c>
      <c r="K265" s="48" t="str">
        <f t="shared" si="16"/>
        <v>2026-03</v>
      </c>
      <c r="L265" s="48" t="str">
        <f t="shared" si="17"/>
        <v>Q1-2026</v>
      </c>
      <c r="M265" s="50">
        <f t="shared" si="18"/>
        <v>5877.51</v>
      </c>
      <c r="N265" s="51">
        <f t="shared" si="19"/>
        <v>0.46581284301876325</v>
      </c>
    </row>
    <row r="266" spans="1:14" ht="15">
      <c r="A266" s="48">
        <f>Raw_Data!A266</f>
        <v>265</v>
      </c>
      <c r="B266" s="49">
        <f>Raw_Data!B266</f>
        <v>46091</v>
      </c>
      <c r="C266" s="48" t="str">
        <f>Raw_Data!C266</f>
        <v>EU</v>
      </c>
      <c r="D266" s="48" t="str">
        <f>Raw_Data!D266</f>
        <v>Services</v>
      </c>
      <c r="E266" s="48" t="str">
        <f>Raw_Data!E266</f>
        <v>Mid-Market</v>
      </c>
      <c r="F266" s="48" t="str">
        <f>Raw_Data!F266</f>
        <v>Online</v>
      </c>
      <c r="G266" s="50">
        <f>Raw_Data!G266</f>
        <v>212</v>
      </c>
      <c r="H266" s="50">
        <f>Raw_Data!H266</f>
        <v>351.88</v>
      </c>
      <c r="I266" s="50">
        <f>Raw_Data!I266</f>
        <v>74598.559999999998</v>
      </c>
      <c r="J266" s="50">
        <f>Raw_Data!J266</f>
        <v>39642.85</v>
      </c>
      <c r="K266" s="48" t="str">
        <f t="shared" si="16"/>
        <v>2026-03</v>
      </c>
      <c r="L266" s="48" t="str">
        <f t="shared" si="17"/>
        <v>Q1-2026</v>
      </c>
      <c r="M266" s="50">
        <f t="shared" si="18"/>
        <v>34955.71</v>
      </c>
      <c r="N266" s="51">
        <f t="shared" si="19"/>
        <v>0.46858424613022021</v>
      </c>
    </row>
    <row r="267" spans="1:14" ht="15">
      <c r="A267" s="48">
        <f>Raw_Data!A267</f>
        <v>266</v>
      </c>
      <c r="B267" s="49">
        <f>Raw_Data!B267</f>
        <v>46094</v>
      </c>
      <c r="C267" s="48" t="str">
        <f>Raw_Data!C267</f>
        <v>UK</v>
      </c>
      <c r="D267" s="48" t="str">
        <f>Raw_Data!D267</f>
        <v>Software</v>
      </c>
      <c r="E267" s="48" t="str">
        <f>Raw_Data!E267</f>
        <v>Public Sector</v>
      </c>
      <c r="F267" s="48" t="str">
        <f>Raw_Data!F267</f>
        <v>Partner</v>
      </c>
      <c r="G267" s="50">
        <f>Raw_Data!G267</f>
        <v>59</v>
      </c>
      <c r="H267" s="50">
        <f>Raw_Data!H267</f>
        <v>474.77</v>
      </c>
      <c r="I267" s="50">
        <f>Raw_Data!I267</f>
        <v>28011.43</v>
      </c>
      <c r="J267" s="50">
        <f>Raw_Data!J267</f>
        <v>12039.54</v>
      </c>
      <c r="K267" s="48" t="str">
        <f t="shared" si="16"/>
        <v>2026-03</v>
      </c>
      <c r="L267" s="48" t="str">
        <f t="shared" si="17"/>
        <v>Q1-2026</v>
      </c>
      <c r="M267" s="50">
        <f t="shared" si="18"/>
        <v>15971.89</v>
      </c>
      <c r="N267" s="51">
        <f t="shared" si="19"/>
        <v>0.57019188238515484</v>
      </c>
    </row>
    <row r="268" spans="1:14" ht="15">
      <c r="A268" s="48">
        <f>Raw_Data!A268</f>
        <v>267</v>
      </c>
      <c r="B268" s="49">
        <f>Raw_Data!B268</f>
        <v>46094</v>
      </c>
      <c r="C268" s="48" t="str">
        <f>Raw_Data!C268</f>
        <v>US</v>
      </c>
      <c r="D268" s="48" t="str">
        <f>Raw_Data!D268</f>
        <v>Services</v>
      </c>
      <c r="E268" s="48" t="str">
        <f>Raw_Data!E268</f>
        <v>SMB</v>
      </c>
      <c r="F268" s="48" t="str">
        <f>Raw_Data!F268</f>
        <v>Direct</v>
      </c>
      <c r="G268" s="50">
        <f>Raw_Data!G268</f>
        <v>192</v>
      </c>
      <c r="H268" s="50">
        <f>Raw_Data!H268</f>
        <v>356.03</v>
      </c>
      <c r="I268" s="50">
        <f>Raw_Data!I268</f>
        <v>68357.759999999995</v>
      </c>
      <c r="J268" s="50">
        <f>Raw_Data!J268</f>
        <v>37359.43</v>
      </c>
      <c r="K268" s="48" t="str">
        <f t="shared" si="16"/>
        <v>2026-03</v>
      </c>
      <c r="L268" s="48" t="str">
        <f t="shared" si="17"/>
        <v>Q1-2026</v>
      </c>
      <c r="M268" s="50">
        <f t="shared" si="18"/>
        <v>30998.329999999994</v>
      </c>
      <c r="N268" s="51">
        <f t="shared" si="19"/>
        <v>0.45347199791216092</v>
      </c>
    </row>
    <row r="269" spans="1:14" ht="15">
      <c r="A269" s="48">
        <f>Raw_Data!A269</f>
        <v>268</v>
      </c>
      <c r="B269" s="49">
        <f>Raw_Data!B269</f>
        <v>46096</v>
      </c>
      <c r="C269" s="48" t="str">
        <f>Raw_Data!C269</f>
        <v>US</v>
      </c>
      <c r="D269" s="48" t="str">
        <f>Raw_Data!D269</f>
        <v>Hardware</v>
      </c>
      <c r="E269" s="48" t="str">
        <f>Raw_Data!E269</f>
        <v>Enterprise</v>
      </c>
      <c r="F269" s="48" t="str">
        <f>Raw_Data!F269</f>
        <v>Online</v>
      </c>
      <c r="G269" s="50">
        <f>Raw_Data!G269</f>
        <v>141</v>
      </c>
      <c r="H269" s="50">
        <f>Raw_Data!H269</f>
        <v>791.18</v>
      </c>
      <c r="I269" s="50">
        <f>Raw_Data!I269</f>
        <v>111556.38</v>
      </c>
      <c r="J269" s="50">
        <f>Raw_Data!J269</f>
        <v>75481.119999999995</v>
      </c>
      <c r="K269" s="48" t="str">
        <f t="shared" si="16"/>
        <v>2026-03</v>
      </c>
      <c r="L269" s="48" t="str">
        <f t="shared" si="17"/>
        <v>Q1-2026</v>
      </c>
      <c r="M269" s="50">
        <f t="shared" si="18"/>
        <v>36075.260000000009</v>
      </c>
      <c r="N269" s="51">
        <f t="shared" si="19"/>
        <v>0.32338141485049987</v>
      </c>
    </row>
    <row r="270" spans="1:14" ht="15">
      <c r="A270" s="48">
        <f>Raw_Data!A270</f>
        <v>269</v>
      </c>
      <c r="B270" s="49">
        <f>Raw_Data!B270</f>
        <v>46102</v>
      </c>
      <c r="C270" s="48" t="str">
        <f>Raw_Data!C270</f>
        <v>EU</v>
      </c>
      <c r="D270" s="48" t="str">
        <f>Raw_Data!D270</f>
        <v>Hardware</v>
      </c>
      <c r="E270" s="48" t="str">
        <f>Raw_Data!E270</f>
        <v>Mid-Market</v>
      </c>
      <c r="F270" s="48" t="str">
        <f>Raw_Data!F270</f>
        <v>Direct</v>
      </c>
      <c r="G270" s="50">
        <f>Raw_Data!G270</f>
        <v>159</v>
      </c>
      <c r="H270" s="50">
        <f>Raw_Data!H270</f>
        <v>606.79999999999995</v>
      </c>
      <c r="I270" s="50">
        <f>Raw_Data!I270</f>
        <v>96481.2</v>
      </c>
      <c r="J270" s="50">
        <f>Raw_Data!J270</f>
        <v>65014.97</v>
      </c>
      <c r="K270" s="48" t="str">
        <f t="shared" si="16"/>
        <v>2026-03</v>
      </c>
      <c r="L270" s="48" t="str">
        <f t="shared" si="17"/>
        <v>Q1-2026</v>
      </c>
      <c r="M270" s="50">
        <f t="shared" si="18"/>
        <v>31466.229999999996</v>
      </c>
      <c r="N270" s="51">
        <f t="shared" si="19"/>
        <v>0.32613846013523873</v>
      </c>
    </row>
    <row r="271" spans="1:14" ht="15">
      <c r="A271" s="48">
        <f>Raw_Data!A271</f>
        <v>270</v>
      </c>
      <c r="B271" s="49">
        <f>Raw_Data!B271</f>
        <v>46103</v>
      </c>
      <c r="C271" s="48" t="str">
        <f>Raw_Data!C271</f>
        <v>US</v>
      </c>
      <c r="D271" s="48" t="str">
        <f>Raw_Data!D271</f>
        <v>Software</v>
      </c>
      <c r="E271" s="48" t="str">
        <f>Raw_Data!E271</f>
        <v>Enterprise</v>
      </c>
      <c r="F271" s="48" t="str">
        <f>Raw_Data!F271</f>
        <v>Online</v>
      </c>
      <c r="G271" s="50">
        <f>Raw_Data!G271</f>
        <v>129</v>
      </c>
      <c r="H271" s="50">
        <f>Raw_Data!H271</f>
        <v>680.58</v>
      </c>
      <c r="I271" s="50">
        <f>Raw_Data!I271</f>
        <v>87794.82</v>
      </c>
      <c r="J271" s="50">
        <f>Raw_Data!J271</f>
        <v>34647.1</v>
      </c>
      <c r="K271" s="48" t="str">
        <f t="shared" si="16"/>
        <v>2026-03</v>
      </c>
      <c r="L271" s="48" t="str">
        <f t="shared" si="17"/>
        <v>Q1-2026</v>
      </c>
      <c r="M271" s="50">
        <f t="shared" si="18"/>
        <v>53147.720000000008</v>
      </c>
      <c r="N271" s="51">
        <f t="shared" si="19"/>
        <v>0.60536282208904812</v>
      </c>
    </row>
    <row r="272" spans="1:14" ht="15">
      <c r="A272" s="48">
        <f>Raw_Data!A272</f>
        <v>271</v>
      </c>
      <c r="B272" s="49">
        <f>Raw_Data!B272</f>
        <v>46107</v>
      </c>
      <c r="C272" s="48" t="str">
        <f>Raw_Data!C272</f>
        <v>EU</v>
      </c>
      <c r="D272" s="48" t="str">
        <f>Raw_Data!D272</f>
        <v>Hardware</v>
      </c>
      <c r="E272" s="48" t="str">
        <f>Raw_Data!E272</f>
        <v>Public Sector</v>
      </c>
      <c r="F272" s="48" t="str">
        <f>Raw_Data!F272</f>
        <v>Online</v>
      </c>
      <c r="G272" s="50">
        <f>Raw_Data!G272</f>
        <v>207</v>
      </c>
      <c r="H272" s="50">
        <f>Raw_Data!H272</f>
        <v>650.83000000000004</v>
      </c>
      <c r="I272" s="50">
        <f>Raw_Data!I272</f>
        <v>134721.81</v>
      </c>
      <c r="J272" s="50">
        <f>Raw_Data!J272</f>
        <v>90122.18</v>
      </c>
      <c r="K272" s="48" t="str">
        <f t="shared" si="16"/>
        <v>2026-03</v>
      </c>
      <c r="L272" s="48" t="str">
        <f t="shared" si="17"/>
        <v>Q1-2026</v>
      </c>
      <c r="M272" s="50">
        <f t="shared" si="18"/>
        <v>44599.630000000005</v>
      </c>
      <c r="N272" s="51">
        <f t="shared" si="19"/>
        <v>0.33104981294416996</v>
      </c>
    </row>
    <row r="273" spans="1:14" ht="15">
      <c r="A273" s="48">
        <f>Raw_Data!A273</f>
        <v>272</v>
      </c>
      <c r="B273" s="49">
        <f>Raw_Data!B273</f>
        <v>46108</v>
      </c>
      <c r="C273" s="48" t="str">
        <f>Raw_Data!C273</f>
        <v>APAC</v>
      </c>
      <c r="D273" s="48" t="str">
        <f>Raw_Data!D273</f>
        <v>Training</v>
      </c>
      <c r="E273" s="48" t="str">
        <f>Raw_Data!E273</f>
        <v>SMB</v>
      </c>
      <c r="F273" s="48" t="str">
        <f>Raw_Data!F273</f>
        <v>Online</v>
      </c>
      <c r="G273" s="50">
        <f>Raw_Data!G273</f>
        <v>220</v>
      </c>
      <c r="H273" s="50">
        <f>Raw_Data!H273</f>
        <v>171.09</v>
      </c>
      <c r="I273" s="50">
        <f>Raw_Data!I273</f>
        <v>37639.800000000003</v>
      </c>
      <c r="J273" s="50">
        <f>Raw_Data!J273</f>
        <v>16988.52</v>
      </c>
      <c r="K273" s="48" t="str">
        <f t="shared" si="16"/>
        <v>2026-03</v>
      </c>
      <c r="L273" s="48" t="str">
        <f t="shared" si="17"/>
        <v>Q1-2026</v>
      </c>
      <c r="M273" s="50">
        <f t="shared" si="18"/>
        <v>20651.280000000002</v>
      </c>
      <c r="N273" s="51">
        <f t="shared" si="19"/>
        <v>0.54865541262174611</v>
      </c>
    </row>
    <row r="274" spans="1:14" ht="15">
      <c r="A274" s="48">
        <f>Raw_Data!A274</f>
        <v>273</v>
      </c>
      <c r="B274" s="49">
        <f>Raw_Data!B274</f>
        <v>46111</v>
      </c>
      <c r="C274" s="48" t="str">
        <f>Raw_Data!C274</f>
        <v>EU</v>
      </c>
      <c r="D274" s="48" t="str">
        <f>Raw_Data!D274</f>
        <v>Services</v>
      </c>
      <c r="E274" s="48" t="str">
        <f>Raw_Data!E274</f>
        <v>Mid-Market</v>
      </c>
      <c r="F274" s="48" t="str">
        <f>Raw_Data!F274</f>
        <v>Direct</v>
      </c>
      <c r="G274" s="50">
        <f>Raw_Data!G274</f>
        <v>94</v>
      </c>
      <c r="H274" s="50">
        <f>Raw_Data!H274</f>
        <v>352.6</v>
      </c>
      <c r="I274" s="50">
        <f>Raw_Data!I274</f>
        <v>33144.400000000001</v>
      </c>
      <c r="J274" s="50">
        <f>Raw_Data!J274</f>
        <v>18995.55</v>
      </c>
      <c r="K274" s="48" t="str">
        <f t="shared" si="16"/>
        <v>2026-03</v>
      </c>
      <c r="L274" s="48" t="str">
        <f t="shared" si="17"/>
        <v>Q1-2026</v>
      </c>
      <c r="M274" s="50">
        <f t="shared" si="18"/>
        <v>14148.850000000002</v>
      </c>
      <c r="N274" s="51">
        <f t="shared" si="19"/>
        <v>0.42688508465985209</v>
      </c>
    </row>
    <row r="275" spans="1:14" ht="15">
      <c r="A275" s="48">
        <f>Raw_Data!A275</f>
        <v>274</v>
      </c>
      <c r="B275" s="49">
        <f>Raw_Data!B275</f>
        <v>46114</v>
      </c>
      <c r="C275" s="48" t="str">
        <f>Raw_Data!C275</f>
        <v>UK</v>
      </c>
      <c r="D275" s="48" t="str">
        <f>Raw_Data!D275</f>
        <v>Software</v>
      </c>
      <c r="E275" s="48" t="str">
        <f>Raw_Data!E275</f>
        <v>Mid-Market</v>
      </c>
      <c r="F275" s="48" t="str">
        <f>Raw_Data!F275</f>
        <v>Partner</v>
      </c>
      <c r="G275" s="50">
        <f>Raw_Data!G275</f>
        <v>19</v>
      </c>
      <c r="H275" s="50">
        <f>Raw_Data!H275</f>
        <v>461.24</v>
      </c>
      <c r="I275" s="50">
        <f>Raw_Data!I275</f>
        <v>8763.56</v>
      </c>
      <c r="J275" s="50">
        <f>Raw_Data!J275</f>
        <v>3780.55</v>
      </c>
      <c r="K275" s="48" t="str">
        <f t="shared" si="16"/>
        <v>2026-04</v>
      </c>
      <c r="L275" s="48" t="str">
        <f t="shared" si="17"/>
        <v>Q2-2026</v>
      </c>
      <c r="M275" s="50">
        <f t="shared" si="18"/>
        <v>4983.0099999999993</v>
      </c>
      <c r="N275" s="51">
        <f t="shared" si="19"/>
        <v>0.56860568079638862</v>
      </c>
    </row>
    <row r="276" spans="1:14" ht="15">
      <c r="A276" s="48">
        <f>Raw_Data!A276</f>
        <v>275</v>
      </c>
      <c r="B276" s="49">
        <f>Raw_Data!B276</f>
        <v>46120</v>
      </c>
      <c r="C276" s="48" t="str">
        <f>Raw_Data!C276</f>
        <v>EU</v>
      </c>
      <c r="D276" s="48" t="str">
        <f>Raw_Data!D276</f>
        <v>Training</v>
      </c>
      <c r="E276" s="48" t="str">
        <f>Raw_Data!E276</f>
        <v>SMB</v>
      </c>
      <c r="F276" s="48" t="str">
        <f>Raw_Data!F276</f>
        <v>Partner</v>
      </c>
      <c r="G276" s="50">
        <f>Raw_Data!G276</f>
        <v>39</v>
      </c>
      <c r="H276" s="50">
        <f>Raw_Data!H276</f>
        <v>200.9</v>
      </c>
      <c r="I276" s="50">
        <f>Raw_Data!I276</f>
        <v>7835.1</v>
      </c>
      <c r="J276" s="50">
        <f>Raw_Data!J276</f>
        <v>3548.8</v>
      </c>
      <c r="K276" s="48" t="str">
        <f t="shared" si="16"/>
        <v>2026-04</v>
      </c>
      <c r="L276" s="48" t="str">
        <f t="shared" si="17"/>
        <v>Q2-2026</v>
      </c>
      <c r="M276" s="50">
        <f t="shared" si="18"/>
        <v>4286.3</v>
      </c>
      <c r="N276" s="51">
        <f t="shared" si="19"/>
        <v>0.54706385368406274</v>
      </c>
    </row>
    <row r="277" spans="1:14" ht="15">
      <c r="A277" s="48">
        <f>Raw_Data!A277</f>
        <v>276</v>
      </c>
      <c r="B277" s="49">
        <f>Raw_Data!B277</f>
        <v>46120</v>
      </c>
      <c r="C277" s="48" t="str">
        <f>Raw_Data!C277</f>
        <v>APAC</v>
      </c>
      <c r="D277" s="48" t="str">
        <f>Raw_Data!D277</f>
        <v>Training</v>
      </c>
      <c r="E277" s="48" t="str">
        <f>Raw_Data!E277</f>
        <v>Enterprise</v>
      </c>
      <c r="F277" s="48" t="str">
        <f>Raw_Data!F277</f>
        <v>Direct</v>
      </c>
      <c r="G277" s="50">
        <f>Raw_Data!G277</f>
        <v>46</v>
      </c>
      <c r="H277" s="50">
        <f>Raw_Data!H277</f>
        <v>223.18</v>
      </c>
      <c r="I277" s="50">
        <f>Raw_Data!I277</f>
        <v>10266.280000000001</v>
      </c>
      <c r="J277" s="50">
        <f>Raw_Data!J277</f>
        <v>5210.0200000000004</v>
      </c>
      <c r="K277" s="48" t="str">
        <f t="shared" si="16"/>
        <v>2026-04</v>
      </c>
      <c r="L277" s="48" t="str">
        <f t="shared" si="17"/>
        <v>Q2-2026</v>
      </c>
      <c r="M277" s="50">
        <f t="shared" si="18"/>
        <v>5056.26</v>
      </c>
      <c r="N277" s="51">
        <f t="shared" si="19"/>
        <v>0.49251140627374279</v>
      </c>
    </row>
    <row r="278" spans="1:14" ht="15">
      <c r="A278" s="48">
        <f>Raw_Data!A278</f>
        <v>277</v>
      </c>
      <c r="B278" s="49">
        <f>Raw_Data!B278</f>
        <v>46127</v>
      </c>
      <c r="C278" s="48" t="str">
        <f>Raw_Data!C278</f>
        <v>EU</v>
      </c>
      <c r="D278" s="48" t="str">
        <f>Raw_Data!D278</f>
        <v>Services</v>
      </c>
      <c r="E278" s="48" t="str">
        <f>Raw_Data!E278</f>
        <v>Mid-Market</v>
      </c>
      <c r="F278" s="48" t="str">
        <f>Raw_Data!F278</f>
        <v>Online</v>
      </c>
      <c r="G278" s="50">
        <f>Raw_Data!G278</f>
        <v>161</v>
      </c>
      <c r="H278" s="50">
        <f>Raw_Data!H278</f>
        <v>356.63</v>
      </c>
      <c r="I278" s="50">
        <f>Raw_Data!I278</f>
        <v>57417.43</v>
      </c>
      <c r="J278" s="50">
        <f>Raw_Data!J278</f>
        <v>31337.27</v>
      </c>
      <c r="K278" s="48" t="str">
        <f t="shared" si="16"/>
        <v>2026-04</v>
      </c>
      <c r="L278" s="48" t="str">
        <f t="shared" si="17"/>
        <v>Q2-2026</v>
      </c>
      <c r="M278" s="50">
        <f t="shared" si="18"/>
        <v>26080.16</v>
      </c>
      <c r="N278" s="51">
        <f t="shared" si="19"/>
        <v>0.45422026029378187</v>
      </c>
    </row>
    <row r="279" spans="1:14" ht="15">
      <c r="A279" s="48">
        <f>Raw_Data!A279</f>
        <v>278</v>
      </c>
      <c r="B279" s="49">
        <f>Raw_Data!B279</f>
        <v>46126</v>
      </c>
      <c r="C279" s="48" t="str">
        <f>Raw_Data!C279</f>
        <v>APAC</v>
      </c>
      <c r="D279" s="48" t="str">
        <f>Raw_Data!D279</f>
        <v>Training</v>
      </c>
      <c r="E279" s="48" t="str">
        <f>Raw_Data!E279</f>
        <v>SMB</v>
      </c>
      <c r="F279" s="48" t="str">
        <f>Raw_Data!F279</f>
        <v>Partner</v>
      </c>
      <c r="G279" s="50">
        <f>Raw_Data!G279</f>
        <v>28</v>
      </c>
      <c r="H279" s="50">
        <f>Raw_Data!H279</f>
        <v>178.03</v>
      </c>
      <c r="I279" s="50">
        <f>Raw_Data!I279</f>
        <v>4984.84</v>
      </c>
      <c r="J279" s="50">
        <f>Raw_Data!J279</f>
        <v>2352.87</v>
      </c>
      <c r="K279" s="48" t="str">
        <f t="shared" si="16"/>
        <v>2026-04</v>
      </c>
      <c r="L279" s="48" t="str">
        <f t="shared" si="17"/>
        <v>Q2-2026</v>
      </c>
      <c r="M279" s="50">
        <f t="shared" si="18"/>
        <v>2631.9700000000003</v>
      </c>
      <c r="N279" s="51">
        <f t="shared" si="19"/>
        <v>0.52799488047760812</v>
      </c>
    </row>
    <row r="280" spans="1:14" ht="15">
      <c r="A280" s="48">
        <f>Raw_Data!A280</f>
        <v>279</v>
      </c>
      <c r="B280" s="49">
        <f>Raw_Data!B280</f>
        <v>46130</v>
      </c>
      <c r="C280" s="48" t="str">
        <f>Raw_Data!C280</f>
        <v>US</v>
      </c>
      <c r="D280" s="48" t="str">
        <f>Raw_Data!D280</f>
        <v>Training</v>
      </c>
      <c r="E280" s="48" t="str">
        <f>Raw_Data!E280</f>
        <v>Enterprise</v>
      </c>
      <c r="F280" s="48" t="str">
        <f>Raw_Data!F280</f>
        <v>Partner</v>
      </c>
      <c r="G280" s="50">
        <f>Raw_Data!G280</f>
        <v>158</v>
      </c>
      <c r="H280" s="50">
        <f>Raw_Data!H280</f>
        <v>281.2</v>
      </c>
      <c r="I280" s="50">
        <f>Raw_Data!I280</f>
        <v>44429.599999999999</v>
      </c>
      <c r="J280" s="50">
        <f>Raw_Data!J280</f>
        <v>21487.46</v>
      </c>
      <c r="K280" s="48" t="str">
        <f t="shared" si="16"/>
        <v>2026-04</v>
      </c>
      <c r="L280" s="48" t="str">
        <f t="shared" si="17"/>
        <v>Q2-2026</v>
      </c>
      <c r="M280" s="50">
        <f t="shared" si="18"/>
        <v>22942.14</v>
      </c>
      <c r="N280" s="51">
        <f t="shared" si="19"/>
        <v>0.51637061778634064</v>
      </c>
    </row>
    <row r="281" spans="1:14" ht="15">
      <c r="A281" s="48">
        <f>Raw_Data!A281</f>
        <v>280</v>
      </c>
      <c r="B281" s="49">
        <f>Raw_Data!B281</f>
        <v>46134</v>
      </c>
      <c r="C281" s="48" t="str">
        <f>Raw_Data!C281</f>
        <v>EU</v>
      </c>
      <c r="D281" s="48" t="str">
        <f>Raw_Data!D281</f>
        <v>Training</v>
      </c>
      <c r="E281" s="48" t="str">
        <f>Raw_Data!E281</f>
        <v>SMB</v>
      </c>
      <c r="F281" s="48" t="str">
        <f>Raw_Data!F281</f>
        <v>Partner</v>
      </c>
      <c r="G281" s="50">
        <f>Raw_Data!G281</f>
        <v>42</v>
      </c>
      <c r="H281" s="50">
        <f>Raw_Data!H281</f>
        <v>194.2</v>
      </c>
      <c r="I281" s="50">
        <f>Raw_Data!I281</f>
        <v>8156.4</v>
      </c>
      <c r="J281" s="50">
        <f>Raw_Data!J281</f>
        <v>3707.1</v>
      </c>
      <c r="K281" s="48" t="str">
        <f t="shared" si="16"/>
        <v>2026-04</v>
      </c>
      <c r="L281" s="48" t="str">
        <f t="shared" si="17"/>
        <v>Q2-2026</v>
      </c>
      <c r="M281" s="50">
        <f t="shared" si="18"/>
        <v>4449.2999999999993</v>
      </c>
      <c r="N281" s="51">
        <f t="shared" si="19"/>
        <v>0.5454980138296307</v>
      </c>
    </row>
    <row r="282" spans="1:14" ht="15">
      <c r="A282" s="48">
        <f>Raw_Data!A282</f>
        <v>281</v>
      </c>
      <c r="B282" s="49">
        <f>Raw_Data!B282</f>
        <v>46138</v>
      </c>
      <c r="C282" s="48" t="str">
        <f>Raw_Data!C282</f>
        <v>EU</v>
      </c>
      <c r="D282" s="48" t="str">
        <f>Raw_Data!D282</f>
        <v>Software</v>
      </c>
      <c r="E282" s="48" t="str">
        <f>Raw_Data!E282</f>
        <v>Mid-Market</v>
      </c>
      <c r="F282" s="48" t="str">
        <f>Raw_Data!F282</f>
        <v>Direct</v>
      </c>
      <c r="G282" s="50">
        <f>Raw_Data!G282</f>
        <v>122</v>
      </c>
      <c r="H282" s="50">
        <f>Raw_Data!H282</f>
        <v>501.94</v>
      </c>
      <c r="I282" s="50">
        <f>Raw_Data!I282</f>
        <v>61236.68</v>
      </c>
      <c r="J282" s="50">
        <f>Raw_Data!J282</f>
        <v>26973.39</v>
      </c>
      <c r="K282" s="48" t="str">
        <f t="shared" si="16"/>
        <v>2026-04</v>
      </c>
      <c r="L282" s="48" t="str">
        <f t="shared" si="17"/>
        <v>Q2-2026</v>
      </c>
      <c r="M282" s="50">
        <f t="shared" si="18"/>
        <v>34263.29</v>
      </c>
      <c r="N282" s="51">
        <f t="shared" si="19"/>
        <v>0.55952233204020863</v>
      </c>
    </row>
    <row r="283" spans="1:14" ht="15">
      <c r="A283" s="48">
        <f>Raw_Data!A283</f>
        <v>282</v>
      </c>
      <c r="B283" s="49">
        <f>Raw_Data!B283</f>
        <v>46141</v>
      </c>
      <c r="C283" s="48" t="str">
        <f>Raw_Data!C283</f>
        <v>UK</v>
      </c>
      <c r="D283" s="48" t="str">
        <f>Raw_Data!D283</f>
        <v>Software</v>
      </c>
      <c r="E283" s="48" t="str">
        <f>Raw_Data!E283</f>
        <v>SMB</v>
      </c>
      <c r="F283" s="48" t="str">
        <f>Raw_Data!F283</f>
        <v>Online</v>
      </c>
      <c r="G283" s="50">
        <f>Raw_Data!G283</f>
        <v>173</v>
      </c>
      <c r="H283" s="50">
        <f>Raw_Data!H283</f>
        <v>386.77</v>
      </c>
      <c r="I283" s="50">
        <f>Raw_Data!I283</f>
        <v>66911.210000000006</v>
      </c>
      <c r="J283" s="50">
        <f>Raw_Data!J283</f>
        <v>29046.06</v>
      </c>
      <c r="K283" s="48" t="str">
        <f t="shared" si="16"/>
        <v>2026-04</v>
      </c>
      <c r="L283" s="48" t="str">
        <f t="shared" si="17"/>
        <v>Q2-2026</v>
      </c>
      <c r="M283" s="50">
        <f t="shared" si="18"/>
        <v>37865.150000000009</v>
      </c>
      <c r="N283" s="51">
        <f t="shared" si="19"/>
        <v>0.56590143863786058</v>
      </c>
    </row>
    <row r="284" spans="1:14" ht="15">
      <c r="A284" s="48">
        <f>Raw_Data!A284</f>
        <v>283</v>
      </c>
      <c r="B284" s="49">
        <f>Raw_Data!B284</f>
        <v>46143</v>
      </c>
      <c r="C284" s="48" t="str">
        <f>Raw_Data!C284</f>
        <v>UK</v>
      </c>
      <c r="D284" s="48" t="str">
        <f>Raw_Data!D284</f>
        <v>Software</v>
      </c>
      <c r="E284" s="48" t="str">
        <f>Raw_Data!E284</f>
        <v>Enterprise</v>
      </c>
      <c r="F284" s="48" t="str">
        <f>Raw_Data!F284</f>
        <v>Direct</v>
      </c>
      <c r="G284" s="50">
        <f>Raw_Data!G284</f>
        <v>148</v>
      </c>
      <c r="H284" s="50">
        <f>Raw_Data!H284</f>
        <v>524.12</v>
      </c>
      <c r="I284" s="50">
        <f>Raw_Data!I284</f>
        <v>77569.759999999995</v>
      </c>
      <c r="J284" s="50">
        <f>Raw_Data!J284</f>
        <v>31445.42</v>
      </c>
      <c r="K284" s="48" t="str">
        <f t="shared" si="16"/>
        <v>2026-05</v>
      </c>
      <c r="L284" s="48" t="str">
        <f t="shared" si="17"/>
        <v>Q2-2026</v>
      </c>
      <c r="M284" s="50">
        <f t="shared" si="18"/>
        <v>46124.34</v>
      </c>
      <c r="N284" s="51">
        <f t="shared" si="19"/>
        <v>0.59461754168119119</v>
      </c>
    </row>
    <row r="285" spans="1:14" ht="15">
      <c r="A285" s="48">
        <f>Raw_Data!A285</f>
        <v>284</v>
      </c>
      <c r="B285" s="49">
        <f>Raw_Data!B285</f>
        <v>46144</v>
      </c>
      <c r="C285" s="48" t="str">
        <f>Raw_Data!C285</f>
        <v>US</v>
      </c>
      <c r="D285" s="48" t="str">
        <f>Raw_Data!D285</f>
        <v>Software</v>
      </c>
      <c r="E285" s="48" t="str">
        <f>Raw_Data!E285</f>
        <v>Enterprise</v>
      </c>
      <c r="F285" s="48" t="str">
        <f>Raw_Data!F285</f>
        <v>Partner</v>
      </c>
      <c r="G285" s="50">
        <f>Raw_Data!G285</f>
        <v>180</v>
      </c>
      <c r="H285" s="50">
        <f>Raw_Data!H285</f>
        <v>627.14</v>
      </c>
      <c r="I285" s="50">
        <f>Raw_Data!I285</f>
        <v>112885.2</v>
      </c>
      <c r="J285" s="50">
        <f>Raw_Data!J285</f>
        <v>44467.97</v>
      </c>
      <c r="K285" s="48" t="str">
        <f t="shared" si="16"/>
        <v>2026-05</v>
      </c>
      <c r="L285" s="48" t="str">
        <f t="shared" si="17"/>
        <v>Q2-2026</v>
      </c>
      <c r="M285" s="50">
        <f t="shared" si="18"/>
        <v>68417.23</v>
      </c>
      <c r="N285" s="51">
        <f t="shared" si="19"/>
        <v>0.60607794467299525</v>
      </c>
    </row>
    <row r="286" spans="1:14" ht="15">
      <c r="A286" s="48">
        <f>Raw_Data!A286</f>
        <v>285</v>
      </c>
      <c r="B286" s="49">
        <f>Raw_Data!B286</f>
        <v>46151</v>
      </c>
      <c r="C286" s="48" t="str">
        <f>Raw_Data!C286</f>
        <v>US</v>
      </c>
      <c r="D286" s="48" t="str">
        <f>Raw_Data!D286</f>
        <v>Software</v>
      </c>
      <c r="E286" s="48" t="str">
        <f>Raw_Data!E286</f>
        <v>Public Sector</v>
      </c>
      <c r="F286" s="48" t="str">
        <f>Raw_Data!F286</f>
        <v>Online</v>
      </c>
      <c r="G286" s="50">
        <f>Raw_Data!G286</f>
        <v>151</v>
      </c>
      <c r="H286" s="50">
        <f>Raw_Data!H286</f>
        <v>567.04999999999995</v>
      </c>
      <c r="I286" s="50">
        <f>Raw_Data!I286</f>
        <v>85624.55</v>
      </c>
      <c r="J286" s="50">
        <f>Raw_Data!J286</f>
        <v>35842.31</v>
      </c>
      <c r="K286" s="48" t="str">
        <f t="shared" si="16"/>
        <v>2026-05</v>
      </c>
      <c r="L286" s="48" t="str">
        <f t="shared" si="17"/>
        <v>Q2-2026</v>
      </c>
      <c r="M286" s="50">
        <f t="shared" si="18"/>
        <v>49782.240000000005</v>
      </c>
      <c r="N286" s="51">
        <f t="shared" si="19"/>
        <v>0.58140147889828331</v>
      </c>
    </row>
    <row r="287" spans="1:14" ht="15">
      <c r="A287" s="48">
        <f>Raw_Data!A287</f>
        <v>286</v>
      </c>
      <c r="B287" s="49">
        <f>Raw_Data!B287</f>
        <v>46154</v>
      </c>
      <c r="C287" s="48" t="str">
        <f>Raw_Data!C287</f>
        <v>EU</v>
      </c>
      <c r="D287" s="48" t="str">
        <f>Raw_Data!D287</f>
        <v>Hardware</v>
      </c>
      <c r="E287" s="48" t="str">
        <f>Raw_Data!E287</f>
        <v>Public Sector</v>
      </c>
      <c r="F287" s="48" t="str">
        <f>Raw_Data!F287</f>
        <v>Online</v>
      </c>
      <c r="G287" s="50">
        <f>Raw_Data!G287</f>
        <v>88</v>
      </c>
      <c r="H287" s="50">
        <f>Raw_Data!H287</f>
        <v>604.79999999999995</v>
      </c>
      <c r="I287" s="50">
        <f>Raw_Data!I287</f>
        <v>53222.400000000001</v>
      </c>
      <c r="J287" s="50">
        <f>Raw_Data!J287</f>
        <v>37140.480000000003</v>
      </c>
      <c r="K287" s="48" t="str">
        <f t="shared" si="16"/>
        <v>2026-05</v>
      </c>
      <c r="L287" s="48" t="str">
        <f t="shared" si="17"/>
        <v>Q2-2026</v>
      </c>
      <c r="M287" s="50">
        <f t="shared" si="18"/>
        <v>16081.919999999998</v>
      </c>
      <c r="N287" s="51">
        <f t="shared" si="19"/>
        <v>0.30216450216450214</v>
      </c>
    </row>
    <row r="288" spans="1:14" ht="15">
      <c r="A288" s="48">
        <f>Raw_Data!A288</f>
        <v>287</v>
      </c>
      <c r="B288" s="49">
        <f>Raw_Data!B288</f>
        <v>46157</v>
      </c>
      <c r="C288" s="48" t="str">
        <f>Raw_Data!C288</f>
        <v>US</v>
      </c>
      <c r="D288" s="48" t="str">
        <f>Raw_Data!D288</f>
        <v>Training</v>
      </c>
      <c r="E288" s="48" t="str">
        <f>Raw_Data!E288</f>
        <v>Mid-Market</v>
      </c>
      <c r="F288" s="48" t="str">
        <f>Raw_Data!F288</f>
        <v>Online</v>
      </c>
      <c r="G288" s="50">
        <f>Raw_Data!G288</f>
        <v>113</v>
      </c>
      <c r="H288" s="50">
        <f>Raw_Data!H288</f>
        <v>222.41</v>
      </c>
      <c r="I288" s="50">
        <f>Raw_Data!I288</f>
        <v>25132.33</v>
      </c>
      <c r="J288" s="50">
        <f>Raw_Data!J288</f>
        <v>12469.99</v>
      </c>
      <c r="K288" s="48" t="str">
        <f t="shared" si="16"/>
        <v>2026-05</v>
      </c>
      <c r="L288" s="48" t="str">
        <f t="shared" si="17"/>
        <v>Q2-2026</v>
      </c>
      <c r="M288" s="50">
        <f t="shared" si="18"/>
        <v>12662.340000000002</v>
      </c>
      <c r="N288" s="51">
        <f t="shared" si="19"/>
        <v>0.50382674427719198</v>
      </c>
    </row>
    <row r="289" spans="1:14" ht="15">
      <c r="A289" s="48">
        <f>Raw_Data!A289</f>
        <v>288</v>
      </c>
      <c r="B289" s="49">
        <f>Raw_Data!B289</f>
        <v>46159</v>
      </c>
      <c r="C289" s="48" t="str">
        <f>Raw_Data!C289</f>
        <v>US</v>
      </c>
      <c r="D289" s="48" t="str">
        <f>Raw_Data!D289</f>
        <v>Training</v>
      </c>
      <c r="E289" s="48" t="str">
        <f>Raw_Data!E289</f>
        <v>Public Sector</v>
      </c>
      <c r="F289" s="48" t="str">
        <f>Raw_Data!F289</f>
        <v>Partner</v>
      </c>
      <c r="G289" s="50">
        <f>Raw_Data!G289</f>
        <v>22</v>
      </c>
      <c r="H289" s="50">
        <f>Raw_Data!H289</f>
        <v>240.21</v>
      </c>
      <c r="I289" s="50">
        <f>Raw_Data!I289</f>
        <v>5284.62</v>
      </c>
      <c r="J289" s="50">
        <f>Raw_Data!J289</f>
        <v>2454.19</v>
      </c>
      <c r="K289" s="48" t="str">
        <f t="shared" si="16"/>
        <v>2026-05</v>
      </c>
      <c r="L289" s="48" t="str">
        <f t="shared" si="17"/>
        <v>Q2-2026</v>
      </c>
      <c r="M289" s="50">
        <f t="shared" si="18"/>
        <v>2830.43</v>
      </c>
      <c r="N289" s="51">
        <f t="shared" si="19"/>
        <v>0.53559763994383702</v>
      </c>
    </row>
  </sheetData>
  <conditionalFormatting sqref="M2:M289">
    <cfRule type="dataBar" priority="2">
      <dataBar>
        <cfvo type="min"/>
        <cfvo type="max"/>
        <color rgb="FF5B9BD5"/>
      </dataBar>
    </cfRule>
  </conditionalFormatting>
  <conditionalFormatting sqref="N2:N289">
    <cfRule type="colorScale" priority="1">
      <colorScale>
        <cfvo type="min"/>
        <cfvo type="percentile" val="50"/>
        <cfvo type="max"/>
        <color rgb="FFFDEDEC"/>
        <color rgb="FFFCF3CF"/>
        <color rgb="FFD5F5E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selection activeCell="C14" sqref="C14"/>
    </sheetView>
  </sheetViews>
  <sheetFormatPr defaultRowHeight="14.25"/>
  <cols>
    <col min="1" max="1" width="48.375" customWidth="1"/>
    <col min="2" max="2" width="15.375" customWidth="1"/>
    <col min="4" max="4" width="113" customWidth="1"/>
    <col min="5" max="8" width="0" hidden="1" customWidth="1"/>
  </cols>
  <sheetData>
    <row r="1" spans="1:8" ht="20.25">
      <c r="A1" s="22" t="s">
        <v>29</v>
      </c>
      <c r="B1" s="23"/>
      <c r="C1" s="23"/>
      <c r="D1" s="23"/>
      <c r="E1" s="23"/>
      <c r="F1" s="23"/>
      <c r="G1" s="23"/>
      <c r="H1" s="23"/>
    </row>
    <row r="3" spans="1:8" ht="15">
      <c r="A3" s="3" t="s">
        <v>30</v>
      </c>
      <c r="B3" s="3" t="s">
        <v>31</v>
      </c>
      <c r="D3" s="24" t="s">
        <v>32</v>
      </c>
      <c r="E3" s="23"/>
      <c r="F3" s="23"/>
      <c r="G3" s="23"/>
      <c r="H3" s="23"/>
    </row>
    <row r="4" spans="1:8">
      <c r="A4" s="5" t="s">
        <v>33</v>
      </c>
      <c r="B4" s="2">
        <f>SUM(Data_Cleaning!I2:I289)</f>
        <v>13498422.109999996</v>
      </c>
      <c r="D4" s="6" t="s">
        <v>34</v>
      </c>
      <c r="E4" s="6"/>
      <c r="F4" s="6"/>
      <c r="G4" s="6"/>
      <c r="H4" s="6"/>
    </row>
    <row r="5" spans="1:8">
      <c r="A5" s="5" t="s">
        <v>35</v>
      </c>
      <c r="B5" s="2">
        <f>SUM(Data_Cleaning!J2:J289)</f>
        <v>7390371.5599999959</v>
      </c>
      <c r="D5" s="6" t="s">
        <v>36</v>
      </c>
      <c r="E5" s="6"/>
      <c r="F5" s="6"/>
      <c r="G5" s="6"/>
      <c r="H5" s="6"/>
    </row>
    <row r="6" spans="1:8">
      <c r="A6" s="5" t="s">
        <v>37</v>
      </c>
      <c r="B6" s="2">
        <f>SUM(Data_Cleaning!M2:M289)</f>
        <v>6108050.5499999989</v>
      </c>
      <c r="D6" s="6" t="s">
        <v>38</v>
      </c>
      <c r="E6" s="6"/>
      <c r="F6" s="6"/>
      <c r="G6" s="6"/>
      <c r="H6" s="6"/>
    </row>
    <row r="7" spans="1:8">
      <c r="A7" s="5" t="s">
        <v>39</v>
      </c>
      <c r="B7" s="2">
        <f>AVERAGE(Data_Cleaning!N2:N289)</f>
        <v>0.47044914718033115</v>
      </c>
      <c r="D7" s="6"/>
      <c r="E7" s="6"/>
      <c r="F7" s="6"/>
      <c r="G7" s="6"/>
      <c r="H7" s="6"/>
    </row>
    <row r="8" spans="1:8">
      <c r="A8" s="5" t="s">
        <v>40</v>
      </c>
      <c r="B8" s="7">
        <f>COUNTA(Data_Cleaning!A2:A289)</f>
        <v>288</v>
      </c>
      <c r="D8" s="6"/>
      <c r="E8" s="6"/>
      <c r="F8" s="6"/>
      <c r="G8" s="6"/>
      <c r="H8" s="6"/>
    </row>
    <row r="9" spans="1:8">
      <c r="A9" s="5" t="s">
        <v>41</v>
      </c>
      <c r="B9" s="5">
        <f>AVERAGE(Data_Cleaning!I2:I289)</f>
        <v>46869.52121527776</v>
      </c>
      <c r="D9" s="6"/>
      <c r="E9" s="6"/>
      <c r="F9" s="6"/>
      <c r="G9" s="6"/>
      <c r="H9" s="6"/>
    </row>
    <row r="10" spans="1:8">
      <c r="A10" s="5" t="s">
        <v>42</v>
      </c>
      <c r="B10" s="44" t="str">
        <f>INDEX(Lists!A1:A4,MATCH(MAX(Analysis!H4:H7),Analysis!H4:H7,0))</f>
        <v>EU</v>
      </c>
      <c r="D10" s="6"/>
      <c r="E10" s="6"/>
      <c r="F10" s="6"/>
      <c r="G10" s="6"/>
      <c r="H10" s="6"/>
    </row>
  </sheetData>
  <mergeCells count="2">
    <mergeCell ref="A1:H1"/>
    <mergeCell ref="D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7"/>
  <sheetViews>
    <sheetView workbookViewId="0">
      <selection sqref="A1:K1"/>
    </sheetView>
  </sheetViews>
  <sheetFormatPr defaultRowHeight="14.25"/>
  <cols>
    <col min="1" max="1" width="16" customWidth="1"/>
    <col min="2" max="3" width="12" customWidth="1"/>
    <col min="5" max="5" width="10.625" customWidth="1"/>
    <col min="6" max="8" width="14.125" customWidth="1"/>
    <col min="9" max="10" width="13.375" customWidth="1"/>
  </cols>
  <sheetData>
    <row r="1" spans="1:11" ht="18">
      <c r="A1" s="25" t="s">
        <v>43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3" spans="1:11" ht="15">
      <c r="A3" s="3" t="s">
        <v>25</v>
      </c>
      <c r="B3" s="3" t="s">
        <v>8</v>
      </c>
      <c r="C3" s="3" t="s">
        <v>27</v>
      </c>
      <c r="E3" s="3" t="s">
        <v>2</v>
      </c>
      <c r="F3" s="3" t="s">
        <v>8</v>
      </c>
      <c r="G3" s="3" t="s">
        <v>9</v>
      </c>
      <c r="H3" s="3" t="s">
        <v>27</v>
      </c>
      <c r="I3" s="3" t="s">
        <v>44</v>
      </c>
      <c r="J3" s="3" t="s">
        <v>40</v>
      </c>
    </row>
    <row r="4" spans="1:11">
      <c r="A4" t="s">
        <v>45</v>
      </c>
      <c r="B4" s="2">
        <f>SUMIF(Data_Cleaning!K:K,A4,Data_Cleaning!I:I)</f>
        <v>719581.17999999993</v>
      </c>
      <c r="C4" s="2">
        <f>SUMIF(Data_Cleaning!K:K,A4,Data_Cleaning!M:M)</f>
        <v>319012.74</v>
      </c>
      <c r="E4" t="s">
        <v>16</v>
      </c>
      <c r="F4" s="2">
        <f>SUMIF(Data_Cleaning!C:C,E4,Data_Cleaning!I:I)</f>
        <v>3652755.88</v>
      </c>
      <c r="G4" s="2">
        <f>SUMIF(Data_Cleaning!C:C,E4,Data_Cleaning!J:J)</f>
        <v>2001262.8500000003</v>
      </c>
      <c r="H4" s="2">
        <f>SUMIF(Data_Cleaning!C:C,E4,Data_Cleaning!M:M)</f>
        <v>1651493.0299999998</v>
      </c>
      <c r="I4" s="4">
        <f>IFERROR(H4/F4,0)</f>
        <v>0.45212247526379995</v>
      </c>
      <c r="J4">
        <f>COUNTIF(Data_Cleaning!C:C,E4)</f>
        <v>70</v>
      </c>
    </row>
    <row r="5" spans="1:11">
      <c r="A5" t="s">
        <v>46</v>
      </c>
      <c r="B5" s="2">
        <f>SUMIF(Data_Cleaning!K:K,A5,Data_Cleaning!I:I)</f>
        <v>369294.8</v>
      </c>
      <c r="C5" s="2">
        <f>SUMIF(Data_Cleaning!K:K,A5,Data_Cleaning!M:M)</f>
        <v>178770.78999999998</v>
      </c>
      <c r="E5" t="s">
        <v>10</v>
      </c>
      <c r="F5" s="2">
        <f>SUMIF(Data_Cleaning!C:C,E5,Data_Cleaning!I:I)</f>
        <v>3964741.7600000002</v>
      </c>
      <c r="G5" s="2">
        <f>SUMIF(Data_Cleaning!C:C,E5,Data_Cleaning!J:J)</f>
        <v>2170529.6800000002</v>
      </c>
      <c r="H5" s="2">
        <f>SUMIF(Data_Cleaning!C:C,E5,Data_Cleaning!M:M)</f>
        <v>1794212.0799999998</v>
      </c>
      <c r="I5" s="4">
        <f>IFERROR(H5/F5,0)</f>
        <v>0.45254197842131333</v>
      </c>
      <c r="J5">
        <f>COUNTIF(Data_Cleaning!C:C,E5)</f>
        <v>83</v>
      </c>
    </row>
    <row r="6" spans="1:11">
      <c r="A6" t="s">
        <v>47</v>
      </c>
      <c r="B6" s="2">
        <f>SUMIF(Data_Cleaning!K:K,A6,Data_Cleaning!I:I)</f>
        <v>536659.86</v>
      </c>
      <c r="C6" s="2">
        <f>SUMIF(Data_Cleaning!K:K,A6,Data_Cleaning!M:M)</f>
        <v>251595.25000000009</v>
      </c>
      <c r="E6" t="s">
        <v>22</v>
      </c>
      <c r="F6" s="2">
        <f>SUMIF(Data_Cleaning!C:C,E6,Data_Cleaning!I:I)</f>
        <v>3324522.8300000005</v>
      </c>
      <c r="G6" s="2">
        <f>SUMIF(Data_Cleaning!C:C,E6,Data_Cleaning!J:J)</f>
        <v>1812499.3200000003</v>
      </c>
      <c r="H6" s="2">
        <f>SUMIF(Data_Cleaning!C:C,E6,Data_Cleaning!M:M)</f>
        <v>1512023.5100000002</v>
      </c>
      <c r="I6" s="4">
        <f>IFERROR(H6/F6,0)</f>
        <v>0.45480918234512469</v>
      </c>
      <c r="J6">
        <f>COUNTIF(Data_Cleaning!C:C,E6)</f>
        <v>72</v>
      </c>
    </row>
    <row r="7" spans="1:11">
      <c r="A7" t="s">
        <v>48</v>
      </c>
      <c r="B7" s="2">
        <f>SUMIF(Data_Cleaning!K:K,A7,Data_Cleaning!I:I)</f>
        <v>387342.67</v>
      </c>
      <c r="C7" s="2">
        <f>SUMIF(Data_Cleaning!K:K,A7,Data_Cleaning!M:M)</f>
        <v>165307.96</v>
      </c>
      <c r="E7" t="s">
        <v>19</v>
      </c>
      <c r="F7" s="2">
        <f>SUMIF(Data_Cleaning!C:C,E7,Data_Cleaning!I:I)</f>
        <v>2556401.6399999992</v>
      </c>
      <c r="G7" s="2">
        <f>SUMIF(Data_Cleaning!C:C,E7,Data_Cleaning!J:J)</f>
        <v>1406079.7100000004</v>
      </c>
      <c r="H7" s="2">
        <f>SUMIF(Data_Cleaning!C:C,E7,Data_Cleaning!M:M)</f>
        <v>1150321.93</v>
      </c>
      <c r="I7" s="4">
        <f>IFERROR(H7/F7,0)</f>
        <v>0.44997699579006695</v>
      </c>
      <c r="J7">
        <f>COUNTIF(Data_Cleaning!C:C,E7)</f>
        <v>63</v>
      </c>
    </row>
    <row r="8" spans="1:11">
      <c r="A8" t="s">
        <v>49</v>
      </c>
      <c r="B8" s="2">
        <f>SUMIF(Data_Cleaning!K:K,A8,Data_Cleaning!I:I)</f>
        <v>447343.82</v>
      </c>
      <c r="C8" s="2">
        <f>SUMIF(Data_Cleaning!K:K,A8,Data_Cleaning!M:M)</f>
        <v>196156.03999999998</v>
      </c>
    </row>
    <row r="9" spans="1:11">
      <c r="A9" t="s">
        <v>50</v>
      </c>
      <c r="B9" s="2">
        <f>SUMIF(Data_Cleaning!K:K,A9,Data_Cleaning!I:I)</f>
        <v>397700.41</v>
      </c>
      <c r="C9" s="2">
        <f>SUMIF(Data_Cleaning!K:K,A9,Data_Cleaning!M:M)</f>
        <v>179423.12000000002</v>
      </c>
    </row>
    <row r="10" spans="1:11" ht="15">
      <c r="A10" t="s">
        <v>51</v>
      </c>
      <c r="B10" s="2">
        <f>SUMIF(Data_Cleaning!K:K,A10,Data_Cleaning!I:I)</f>
        <v>330833.76</v>
      </c>
      <c r="C10" s="2">
        <f>SUMIF(Data_Cleaning!K:K,A10,Data_Cleaning!M:M)</f>
        <v>156613.19</v>
      </c>
      <c r="E10" s="3" t="s">
        <v>3</v>
      </c>
      <c r="F10" s="3" t="s">
        <v>8</v>
      </c>
      <c r="G10" s="3" t="s">
        <v>27</v>
      </c>
      <c r="H10" s="3" t="s">
        <v>44</v>
      </c>
      <c r="I10" s="3" t="s">
        <v>40</v>
      </c>
    </row>
    <row r="11" spans="1:11">
      <c r="A11" t="s">
        <v>52</v>
      </c>
      <c r="B11" s="2">
        <f>SUMIF(Data_Cleaning!K:K,A11,Data_Cleaning!I:I)</f>
        <v>451260.22000000003</v>
      </c>
      <c r="C11" s="2">
        <f>SUMIF(Data_Cleaning!K:K,A11,Data_Cleaning!M:M)</f>
        <v>163218.07999999999</v>
      </c>
      <c r="E11" t="s">
        <v>14</v>
      </c>
      <c r="F11" s="2">
        <f>SUMIF(Data_Cleaning!D:D,E11,Data_Cleaning!I:I)</f>
        <v>4195052.5299999993</v>
      </c>
      <c r="G11" s="2">
        <f>SUMIF(Data_Cleaning!D:D,E11,Data_Cleaning!M:M)</f>
        <v>2422822.6599999997</v>
      </c>
      <c r="H11" s="4">
        <f>IFERROR(G11/F11,0)</f>
        <v>0.57754286571472324</v>
      </c>
      <c r="I11">
        <f>COUNTIF(Data_Cleaning!D:D,E11)</f>
        <v>77</v>
      </c>
    </row>
    <row r="12" spans="1:11">
      <c r="A12" t="s">
        <v>53</v>
      </c>
      <c r="B12" s="2">
        <f>SUMIF(Data_Cleaning!K:K,A12,Data_Cleaning!I:I)</f>
        <v>557545.49</v>
      </c>
      <c r="C12" s="2">
        <f>SUMIF(Data_Cleaning!K:K,A12,Data_Cleaning!M:M)</f>
        <v>254601.56</v>
      </c>
      <c r="E12" t="s">
        <v>23</v>
      </c>
      <c r="F12" s="2">
        <f>SUMIF(Data_Cleaning!D:D,E12,Data_Cleaning!I:I)</f>
        <v>3236015.22</v>
      </c>
      <c r="G12" s="2">
        <f>SUMIF(Data_Cleaning!D:D,E12,Data_Cleaning!M:M)</f>
        <v>1456092.8299999998</v>
      </c>
      <c r="H12" s="4">
        <f>IFERROR(G12/F12,0)</f>
        <v>0.44996476561689341</v>
      </c>
      <c r="I12">
        <f>COUNTIF(Data_Cleaning!D:D,E12)</f>
        <v>71</v>
      </c>
    </row>
    <row r="13" spans="1:11">
      <c r="A13" t="s">
        <v>54</v>
      </c>
      <c r="B13" s="2">
        <f>SUMIF(Data_Cleaning!K:K,A13,Data_Cleaning!I:I)</f>
        <v>531806.72000000009</v>
      </c>
      <c r="C13" s="2">
        <f>SUMIF(Data_Cleaning!K:K,A13,Data_Cleaning!M:M)</f>
        <v>239006.09</v>
      </c>
      <c r="E13" t="s">
        <v>20</v>
      </c>
      <c r="F13" s="2">
        <f>SUMIF(Data_Cleaning!D:D,E13,Data_Cleaning!I:I)</f>
        <v>4575535.4799999995</v>
      </c>
      <c r="G13" s="2">
        <f>SUMIF(Data_Cleaning!D:D,E13,Data_Cleaning!M:M)</f>
        <v>1457441.5299999998</v>
      </c>
      <c r="H13" s="4">
        <f>IFERROR(G13/F13,0)</f>
        <v>0.31852917245873918</v>
      </c>
      <c r="I13">
        <f>COUNTIF(Data_Cleaning!D:D,E13)</f>
        <v>67</v>
      </c>
    </row>
    <row r="14" spans="1:11">
      <c r="A14" t="s">
        <v>55</v>
      </c>
      <c r="B14" s="2">
        <f>SUMIF(Data_Cleaning!K:K,A14,Data_Cleaning!I:I)</f>
        <v>386851.62</v>
      </c>
      <c r="C14" s="2">
        <f>SUMIF(Data_Cleaning!K:K,A14,Data_Cleaning!M:M)</f>
        <v>163526.22</v>
      </c>
      <c r="E14" t="s">
        <v>11</v>
      </c>
      <c r="F14" s="2">
        <f>SUMIF(Data_Cleaning!D:D,E14,Data_Cleaning!I:I)</f>
        <v>1491818.8800000011</v>
      </c>
      <c r="G14" s="2">
        <f>SUMIF(Data_Cleaning!D:D,E14,Data_Cleaning!M:M)</f>
        <v>771693.52999999991</v>
      </c>
      <c r="H14" s="4">
        <f>IFERROR(G14/F14,0)</f>
        <v>0.51728365979655611</v>
      </c>
      <c r="I14">
        <f>COUNTIF(Data_Cleaning!D:D,E14)</f>
        <v>73</v>
      </c>
    </row>
    <row r="15" spans="1:11">
      <c r="A15" t="s">
        <v>56</v>
      </c>
      <c r="B15" s="2">
        <f>SUMIF(Data_Cleaning!K:K,A15,Data_Cleaning!I:I)</f>
        <v>363049.29000000004</v>
      </c>
      <c r="C15" s="2">
        <f>SUMIF(Data_Cleaning!K:K,A15,Data_Cleaning!M:M)</f>
        <v>146658.93</v>
      </c>
    </row>
    <row r="16" spans="1:11">
      <c r="A16" t="s">
        <v>57</v>
      </c>
      <c r="B16" s="2">
        <f>SUMIF(Data_Cleaning!K:K,A16,Data_Cleaning!I:I)</f>
        <v>523276.04000000004</v>
      </c>
      <c r="C16" s="2">
        <f>SUMIF(Data_Cleaning!K:K,A16,Data_Cleaning!M:M)</f>
        <v>262399.25</v>
      </c>
    </row>
    <row r="17" spans="1:3">
      <c r="A17" t="s">
        <v>58</v>
      </c>
      <c r="B17" s="2">
        <f>SUMIF(Data_Cleaning!K:K,A17,Data_Cleaning!I:I)</f>
        <v>396344.42</v>
      </c>
      <c r="C17" s="2">
        <f>SUMIF(Data_Cleaning!K:K,A17,Data_Cleaning!M:M)</f>
        <v>204069.28</v>
      </c>
    </row>
    <row r="18" spans="1:3">
      <c r="A18" t="s">
        <v>59</v>
      </c>
      <c r="B18" s="2">
        <f>SUMIF(Data_Cleaning!K:K,A18,Data_Cleaning!I:I)</f>
        <v>470290.21</v>
      </c>
      <c r="C18" s="2">
        <f>SUMIF(Data_Cleaning!K:K,A18,Data_Cleaning!M:M)</f>
        <v>254994.9</v>
      </c>
    </row>
    <row r="19" spans="1:3">
      <c r="A19" t="s">
        <v>60</v>
      </c>
      <c r="B19" s="2">
        <f>SUMIF(Data_Cleaning!K:K,A19,Data_Cleaning!I:I)</f>
        <v>487405.47</v>
      </c>
      <c r="C19" s="2">
        <f>SUMIF(Data_Cleaning!K:K,A19,Data_Cleaning!M:M)</f>
        <v>206016.21</v>
      </c>
    </row>
    <row r="20" spans="1:3">
      <c r="A20" t="s">
        <v>61</v>
      </c>
      <c r="B20" s="2">
        <f>SUMIF(Data_Cleaning!K:K,A20,Data_Cleaning!I:I)</f>
        <v>564484.42000000004</v>
      </c>
      <c r="C20" s="2">
        <f>SUMIF(Data_Cleaning!K:K,A20,Data_Cleaning!M:M)</f>
        <v>242733.91999999998</v>
      </c>
    </row>
    <row r="21" spans="1:3">
      <c r="A21" t="s">
        <v>62</v>
      </c>
      <c r="B21" s="2">
        <f>SUMIF(Data_Cleaning!K:K,A21,Data_Cleaning!I:I)</f>
        <v>590435.18000000005</v>
      </c>
      <c r="C21" s="2">
        <f>SUMIF(Data_Cleaning!K:K,A21,Data_Cleaning!M:M)</f>
        <v>237032.71</v>
      </c>
    </row>
    <row r="22" spans="1:3">
      <c r="A22" t="s">
        <v>63</v>
      </c>
      <c r="B22" s="2">
        <f>SUMIF(Data_Cleaning!K:K,A22,Data_Cleaning!I:I)</f>
        <v>456417.35</v>
      </c>
      <c r="C22" s="2">
        <f>SUMIF(Data_Cleaning!K:K,A22,Data_Cleaning!M:M)</f>
        <v>197018.90000000002</v>
      </c>
    </row>
    <row r="23" spans="1:3">
      <c r="A23" t="s">
        <v>64</v>
      </c>
      <c r="B23" s="2">
        <f>SUMIF(Data_Cleaning!K:K,A23,Data_Cleaning!I:I)</f>
        <v>411100.57999999996</v>
      </c>
      <c r="C23" s="2">
        <f>SUMIF(Data_Cleaning!K:K,A23,Data_Cleaning!M:M)</f>
        <v>177194.80000000002</v>
      </c>
    </row>
    <row r="24" spans="1:3">
      <c r="A24" t="s">
        <v>65</v>
      </c>
      <c r="B24" s="2">
        <f>SUMIF(Data_Cleaning!K:K,A24,Data_Cleaning!I:I)</f>
        <v>418960.31</v>
      </c>
      <c r="C24" s="2">
        <f>SUMIF(Data_Cleaning!K:K,A24,Data_Cleaning!M:M)</f>
        <v>185753.82999999996</v>
      </c>
    </row>
    <row r="25" spans="1:3">
      <c r="A25" t="s">
        <v>66</v>
      </c>
      <c r="B25" s="2">
        <f>SUMIF(Data_Cleaning!K:K,A25,Data_Cleaning!I:I)</f>
        <v>454237.31999999995</v>
      </c>
      <c r="C25" s="2">
        <f>SUMIF(Data_Cleaning!K:K,A25,Data_Cleaning!M:M)</f>
        <v>222383.96999999997</v>
      </c>
    </row>
    <row r="26" spans="1:3">
      <c r="A26" t="s">
        <v>67</v>
      </c>
      <c r="B26" s="2">
        <f>SUMIF(Data_Cleaning!K:K,A26,Data_Cleaning!I:I)</f>
        <v>411871.53000000009</v>
      </c>
      <c r="C26" s="2">
        <f>SUMIF(Data_Cleaning!K:K,A26,Data_Cleaning!M:M)</f>
        <v>227509.16999999998</v>
      </c>
    </row>
    <row r="27" spans="1:3">
      <c r="A27" t="s">
        <v>68</v>
      </c>
      <c r="B27" s="2">
        <f>SUMIF(Data_Cleaning!K:K,A27,Data_Cleaning!I:I)</f>
        <v>723075.31</v>
      </c>
      <c r="C27" s="2">
        <f>SUMIF(Data_Cleaning!K:K,A27,Data_Cleaning!M:M)</f>
        <v>299391.51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workbookViewId="0">
      <selection activeCell="C14" sqref="C14"/>
    </sheetView>
  </sheetViews>
  <sheetFormatPr defaultRowHeight="14.25"/>
  <cols>
    <col min="1" max="1" width="19" customWidth="1"/>
    <col min="2" max="2" width="16.75" customWidth="1"/>
    <col min="3" max="3" width="22.75" customWidth="1"/>
    <col min="4" max="4" width="14" customWidth="1"/>
  </cols>
  <sheetData>
    <row r="1" spans="1:8" ht="18">
      <c r="A1" s="25" t="s">
        <v>69</v>
      </c>
      <c r="B1" s="23"/>
      <c r="C1" s="23"/>
      <c r="D1" s="23"/>
      <c r="E1" s="23"/>
      <c r="F1" s="23"/>
      <c r="G1" s="23"/>
      <c r="H1" s="23"/>
    </row>
    <row r="2" spans="1:8">
      <c r="A2" s="26" t="s">
        <v>70</v>
      </c>
      <c r="B2" s="23"/>
      <c r="C2" s="23"/>
      <c r="D2" s="23"/>
    </row>
    <row r="3" spans="1:8" ht="15">
      <c r="A3" s="3" t="s">
        <v>25</v>
      </c>
      <c r="B3" s="3" t="s">
        <v>71</v>
      </c>
      <c r="C3" s="3" t="s">
        <v>72</v>
      </c>
      <c r="D3" s="3" t="s">
        <v>73</v>
      </c>
    </row>
    <row r="4" spans="1:8">
      <c r="A4" s="21" t="s">
        <v>45</v>
      </c>
      <c r="B4" s="2">
        <f>Analysis!B4</f>
        <v>719581.17999999993</v>
      </c>
      <c r="C4" s="2">
        <f>B4</f>
        <v>719581.17999999993</v>
      </c>
      <c r="D4" t="s">
        <v>74</v>
      </c>
    </row>
    <row r="5" spans="1:8">
      <c r="A5" s="21" t="s">
        <v>46</v>
      </c>
      <c r="B5" s="2">
        <f>Analysis!B5</f>
        <v>369294.8</v>
      </c>
      <c r="C5" s="2">
        <f>AVERAGE(B4:B5)</f>
        <v>544437.99</v>
      </c>
      <c r="D5" t="s">
        <v>74</v>
      </c>
    </row>
    <row r="6" spans="1:8">
      <c r="A6" s="21" t="s">
        <v>47</v>
      </c>
      <c r="B6" s="2">
        <f>Analysis!B6</f>
        <v>536659.86</v>
      </c>
      <c r="C6" s="2">
        <f t="shared" ref="C6:C27" si="0">AVERAGE(B4:B6)</f>
        <v>541845.27999999991</v>
      </c>
      <c r="D6" t="s">
        <v>74</v>
      </c>
    </row>
    <row r="7" spans="1:8">
      <c r="A7" s="21" t="s">
        <v>48</v>
      </c>
      <c r="B7" s="2">
        <f>Analysis!B7</f>
        <v>387342.67</v>
      </c>
      <c r="C7" s="2">
        <f t="shared" si="0"/>
        <v>431099.10999999993</v>
      </c>
      <c r="D7" t="s">
        <v>74</v>
      </c>
    </row>
    <row r="8" spans="1:8">
      <c r="A8" s="21" t="s">
        <v>49</v>
      </c>
      <c r="B8" s="2">
        <f>Analysis!B8</f>
        <v>447343.82</v>
      </c>
      <c r="C8" s="2">
        <f t="shared" si="0"/>
        <v>457115.45</v>
      </c>
      <c r="D8" t="s">
        <v>74</v>
      </c>
    </row>
    <row r="9" spans="1:8">
      <c r="A9" s="21" t="s">
        <v>50</v>
      </c>
      <c r="B9" s="2">
        <f>Analysis!B9</f>
        <v>397700.41</v>
      </c>
      <c r="C9" s="2">
        <f t="shared" si="0"/>
        <v>410795.6333333333</v>
      </c>
      <c r="D9" t="s">
        <v>74</v>
      </c>
    </row>
    <row r="10" spans="1:8">
      <c r="A10" s="21" t="s">
        <v>51</v>
      </c>
      <c r="B10" s="2">
        <f>Analysis!B10</f>
        <v>330833.76</v>
      </c>
      <c r="C10" s="2">
        <f t="shared" si="0"/>
        <v>391959.33</v>
      </c>
      <c r="D10" t="s">
        <v>74</v>
      </c>
    </row>
    <row r="11" spans="1:8">
      <c r="A11" s="21" t="s">
        <v>52</v>
      </c>
      <c r="B11" s="2">
        <f>Analysis!B11</f>
        <v>451260.22000000003</v>
      </c>
      <c r="C11" s="2">
        <f t="shared" si="0"/>
        <v>393264.79666666663</v>
      </c>
      <c r="D11" t="s">
        <v>74</v>
      </c>
    </row>
    <row r="12" spans="1:8">
      <c r="A12" s="21" t="s">
        <v>53</v>
      </c>
      <c r="B12" s="2">
        <f>Analysis!B12</f>
        <v>557545.49</v>
      </c>
      <c r="C12" s="2">
        <f t="shared" si="0"/>
        <v>446546.49</v>
      </c>
      <c r="D12" t="s">
        <v>74</v>
      </c>
    </row>
    <row r="13" spans="1:8">
      <c r="A13" s="21" t="s">
        <v>54</v>
      </c>
      <c r="B13" s="2">
        <f>Analysis!B13</f>
        <v>531806.72000000009</v>
      </c>
      <c r="C13" s="2">
        <f t="shared" si="0"/>
        <v>513537.47666666674</v>
      </c>
      <c r="D13" t="s">
        <v>74</v>
      </c>
    </row>
    <row r="14" spans="1:8">
      <c r="A14" s="21" t="s">
        <v>55</v>
      </c>
      <c r="B14" s="2">
        <f>Analysis!B14</f>
        <v>386851.62</v>
      </c>
      <c r="C14" s="2">
        <f t="shared" si="0"/>
        <v>492067.94333333336</v>
      </c>
      <c r="D14" t="s">
        <v>74</v>
      </c>
    </row>
    <row r="15" spans="1:8">
      <c r="A15" s="21" t="s">
        <v>56</v>
      </c>
      <c r="B15" s="2">
        <f>Analysis!B15</f>
        <v>363049.29000000004</v>
      </c>
      <c r="C15" s="2">
        <f t="shared" si="0"/>
        <v>427235.87666666671</v>
      </c>
      <c r="D15" t="s">
        <v>74</v>
      </c>
    </row>
    <row r="16" spans="1:8">
      <c r="A16" s="21" t="s">
        <v>57</v>
      </c>
      <c r="B16" s="2">
        <f>Analysis!B16</f>
        <v>523276.04000000004</v>
      </c>
      <c r="C16" s="2">
        <f t="shared" si="0"/>
        <v>424392.31666666671</v>
      </c>
      <c r="D16" t="s">
        <v>74</v>
      </c>
    </row>
    <row r="17" spans="1:4">
      <c r="A17" s="21" t="s">
        <v>58</v>
      </c>
      <c r="B17" s="2">
        <f>Analysis!B17</f>
        <v>396344.42</v>
      </c>
      <c r="C17" s="2">
        <f t="shared" si="0"/>
        <v>427556.58333333331</v>
      </c>
      <c r="D17" t="s">
        <v>74</v>
      </c>
    </row>
    <row r="18" spans="1:4">
      <c r="A18" s="21" t="s">
        <v>59</v>
      </c>
      <c r="B18" s="2">
        <f>Analysis!B18</f>
        <v>470290.21</v>
      </c>
      <c r="C18" s="2">
        <f t="shared" si="0"/>
        <v>463303.55666666664</v>
      </c>
      <c r="D18" t="s">
        <v>74</v>
      </c>
    </row>
    <row r="19" spans="1:4">
      <c r="A19" s="21" t="s">
        <v>60</v>
      </c>
      <c r="B19" s="2">
        <f>Analysis!B19</f>
        <v>487405.47</v>
      </c>
      <c r="C19" s="2">
        <f t="shared" si="0"/>
        <v>451346.7</v>
      </c>
      <c r="D19" t="s">
        <v>74</v>
      </c>
    </row>
    <row r="20" spans="1:4">
      <c r="A20" s="21" t="s">
        <v>61</v>
      </c>
      <c r="B20" s="2">
        <f>Analysis!B20</f>
        <v>564484.42000000004</v>
      </c>
      <c r="C20" s="2">
        <f t="shared" si="0"/>
        <v>507393.3666666667</v>
      </c>
      <c r="D20" t="s">
        <v>74</v>
      </c>
    </row>
    <row r="21" spans="1:4">
      <c r="A21" s="21" t="s">
        <v>62</v>
      </c>
      <c r="B21" s="2">
        <f>Analysis!B21</f>
        <v>590435.18000000005</v>
      </c>
      <c r="C21" s="2">
        <f t="shared" si="0"/>
        <v>547441.69000000006</v>
      </c>
      <c r="D21" t="s">
        <v>74</v>
      </c>
    </row>
    <row r="22" spans="1:4">
      <c r="A22" s="21" t="s">
        <v>63</v>
      </c>
      <c r="B22" s="2">
        <f>Analysis!B22</f>
        <v>456417.35</v>
      </c>
      <c r="C22" s="2">
        <f t="shared" si="0"/>
        <v>537112.31666666677</v>
      </c>
      <c r="D22" t="s">
        <v>74</v>
      </c>
    </row>
    <row r="23" spans="1:4">
      <c r="A23" s="21" t="s">
        <v>64</v>
      </c>
      <c r="B23" s="2">
        <f>Analysis!B23</f>
        <v>411100.57999999996</v>
      </c>
      <c r="C23" s="2">
        <f t="shared" si="0"/>
        <v>485984.36999999994</v>
      </c>
      <c r="D23" t="s">
        <v>74</v>
      </c>
    </row>
    <row r="24" spans="1:4">
      <c r="A24" s="21" t="s">
        <v>65</v>
      </c>
      <c r="B24" s="2">
        <f>Analysis!B24</f>
        <v>418960.31</v>
      </c>
      <c r="C24" s="2">
        <f t="shared" si="0"/>
        <v>428826.08</v>
      </c>
      <c r="D24" t="s">
        <v>74</v>
      </c>
    </row>
    <row r="25" spans="1:4">
      <c r="A25" s="21" t="s">
        <v>66</v>
      </c>
      <c r="B25" s="2">
        <f>Analysis!B25</f>
        <v>454237.31999999995</v>
      </c>
      <c r="C25" s="2">
        <f t="shared" si="0"/>
        <v>428099.40333333332</v>
      </c>
      <c r="D25" t="s">
        <v>74</v>
      </c>
    </row>
    <row r="26" spans="1:4">
      <c r="A26" s="21" t="s">
        <v>67</v>
      </c>
      <c r="B26" s="2">
        <f>Analysis!B26</f>
        <v>411871.53000000009</v>
      </c>
      <c r="C26" s="2">
        <f t="shared" si="0"/>
        <v>428356.38666666666</v>
      </c>
      <c r="D26" t="s">
        <v>74</v>
      </c>
    </row>
    <row r="27" spans="1:4">
      <c r="A27" s="21" t="s">
        <v>68</v>
      </c>
      <c r="B27" s="2">
        <f>Analysis!B27</f>
        <v>723075.31</v>
      </c>
      <c r="C27" s="2">
        <f t="shared" si="0"/>
        <v>529728.05333333334</v>
      </c>
      <c r="D27" t="s">
        <v>74</v>
      </c>
    </row>
    <row r="28" spans="1:4">
      <c r="A28" s="21" t="s">
        <v>75</v>
      </c>
      <c r="B28" s="2"/>
      <c r="C28" s="2">
        <f>AVERAGE(B25:B27)</f>
        <v>529728.05333333334</v>
      </c>
      <c r="D28" t="s">
        <v>76</v>
      </c>
    </row>
    <row r="29" spans="1:4">
      <c r="A29" s="21" t="s">
        <v>77</v>
      </c>
      <c r="B29" s="2"/>
      <c r="C29" s="2">
        <f>AVERAGE(B26:B27,C28)</f>
        <v>554891.63111111114</v>
      </c>
      <c r="D29" t="s">
        <v>76</v>
      </c>
    </row>
    <row r="30" spans="1:4">
      <c r="A30" s="21" t="s">
        <v>78</v>
      </c>
      <c r="B30" s="2"/>
      <c r="C30" s="2">
        <f>AVERAGE(B27,C28:C29)</f>
        <v>602564.99814814806</v>
      </c>
      <c r="D30" t="s">
        <v>76</v>
      </c>
    </row>
    <row r="31" spans="1:4">
      <c r="A31" s="21" t="s">
        <v>79</v>
      </c>
      <c r="B31" s="2"/>
      <c r="C31" s="2">
        <f>AVERAGE(C28:C30)</f>
        <v>562394.89419753093</v>
      </c>
      <c r="D31" t="s">
        <v>76</v>
      </c>
    </row>
    <row r="32" spans="1:4">
      <c r="A32" s="21" t="s">
        <v>80</v>
      </c>
      <c r="B32" s="2"/>
      <c r="C32" s="2">
        <f>AVERAGE(C29:C31)</f>
        <v>573283.84115226334</v>
      </c>
      <c r="D32" t="s">
        <v>76</v>
      </c>
    </row>
    <row r="33" spans="1:4">
      <c r="A33" s="21" t="s">
        <v>81</v>
      </c>
      <c r="B33" s="2"/>
      <c r="C33" s="2">
        <f>AVERAGE(C30:C32)</f>
        <v>579414.57783264748</v>
      </c>
      <c r="D33" t="s">
        <v>76</v>
      </c>
    </row>
  </sheetData>
  <mergeCells count="2">
    <mergeCell ref="A1:H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tabSelected="1" workbookViewId="0">
      <selection activeCell="D17" sqref="D17"/>
    </sheetView>
  </sheetViews>
  <sheetFormatPr defaultRowHeight="14.25"/>
  <cols>
    <col min="1" max="1" width="22" customWidth="1"/>
    <col min="2" max="2" width="14" customWidth="1"/>
    <col min="3" max="3" width="6.375" customWidth="1"/>
    <col min="4" max="4" width="22" customWidth="1"/>
    <col min="5" max="5" width="14" customWidth="1"/>
    <col min="6" max="6" width="10" customWidth="1"/>
  </cols>
  <sheetData>
    <row r="1" spans="1:6" ht="30" customHeight="1">
      <c r="A1" s="27" t="s">
        <v>82</v>
      </c>
      <c r="B1" s="27"/>
      <c r="C1" s="27"/>
      <c r="D1" s="27"/>
      <c r="E1" s="27"/>
      <c r="F1" s="27"/>
    </row>
    <row r="2" spans="1:6" ht="21.95" customHeight="1">
      <c r="A2" s="28" t="s">
        <v>83</v>
      </c>
      <c r="B2" s="28"/>
      <c r="C2" s="28"/>
      <c r="D2" s="28"/>
      <c r="E2" s="28"/>
      <c r="F2" s="28"/>
    </row>
    <row r="3" spans="1:6" ht="21.95" customHeight="1">
      <c r="A3" s="53" t="s">
        <v>84</v>
      </c>
      <c r="B3" s="30"/>
      <c r="C3" s="8"/>
      <c r="D3" s="29" t="s">
        <v>85</v>
      </c>
      <c r="E3" s="29"/>
      <c r="F3" s="29"/>
    </row>
    <row r="4" spans="1:6" ht="21.95" customHeight="1">
      <c r="A4" s="10" t="s">
        <v>86</v>
      </c>
      <c r="B4" s="14">
        <f>KPIs!B4</f>
        <v>13498422.109999996</v>
      </c>
      <c r="C4" s="8"/>
      <c r="D4" s="10" t="s">
        <v>87</v>
      </c>
      <c r="E4" s="31">
        <f>B4*(1+B6)</f>
        <v>14578295.878799995</v>
      </c>
      <c r="F4" s="32"/>
    </row>
    <row r="5" spans="1:6" ht="21.95" customHeight="1">
      <c r="A5" s="10" t="s">
        <v>88</v>
      </c>
      <c r="B5" s="14">
        <f>KPIs!B5</f>
        <v>7390371.5599999959</v>
      </c>
      <c r="C5" s="8"/>
      <c r="D5" s="10" t="s">
        <v>89</v>
      </c>
      <c r="E5" s="31">
        <f>B5*(1+B7)</f>
        <v>7759890.1379999956</v>
      </c>
      <c r="F5" s="32"/>
    </row>
    <row r="6" spans="1:6" ht="21.95" customHeight="1">
      <c r="A6" s="10" t="s">
        <v>90</v>
      </c>
      <c r="B6" s="11">
        <v>0.08</v>
      </c>
      <c r="C6" s="8"/>
      <c r="D6" s="10" t="s">
        <v>91</v>
      </c>
      <c r="E6" s="31">
        <f>E4-E5</f>
        <v>6818405.7407999998</v>
      </c>
      <c r="F6" s="32"/>
    </row>
    <row r="7" spans="1:6" ht="21.95" customHeight="1">
      <c r="A7" s="10" t="s">
        <v>92</v>
      </c>
      <c r="B7" s="11">
        <v>0.05</v>
      </c>
      <c r="C7" s="8"/>
      <c r="D7" s="10" t="s">
        <v>93</v>
      </c>
      <c r="E7" s="33">
        <f>IFERROR(E6/E4,0)</f>
        <v>0.46770938095140741</v>
      </c>
      <c r="F7" s="32"/>
    </row>
    <row r="8" spans="1:6" ht="21.95" customHeight="1">
      <c r="C8" s="8"/>
      <c r="D8" s="8"/>
      <c r="E8" s="8"/>
      <c r="F8" s="8"/>
    </row>
    <row r="9" spans="1:6" ht="21.95" customHeight="1"/>
    <row r="10" spans="1:6" ht="21.95" customHeight="1">
      <c r="A10" s="8"/>
      <c r="B10" s="9"/>
      <c r="C10" s="8"/>
      <c r="D10" s="8"/>
      <c r="E10" s="8"/>
      <c r="F10" s="8"/>
    </row>
    <row r="11" spans="1:6" ht="21.95" customHeight="1">
      <c r="A11" s="8"/>
      <c r="B11" s="9"/>
      <c r="C11" s="8"/>
      <c r="D11" s="8"/>
      <c r="E11" s="8"/>
      <c r="F11" s="8"/>
    </row>
    <row r="12" spans="1:6">
      <c r="B12" s="4"/>
    </row>
  </sheetData>
  <mergeCells count="8">
    <mergeCell ref="E5:F5"/>
    <mergeCell ref="E6:F6"/>
    <mergeCell ref="E7:F7"/>
    <mergeCell ref="A1:F1"/>
    <mergeCell ref="A2:F2"/>
    <mergeCell ref="A3:B3"/>
    <mergeCell ref="D3:F3"/>
    <mergeCell ref="E4:F4"/>
  </mergeCells>
  <dataValidations count="1">
    <dataValidation type="decimal" sqref="B5:B6" xr:uid="{00000000-0002-0000-0600-000000000000}">
      <formula1>-0.5</formula1>
      <formula2>1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"/>
  <sheetViews>
    <sheetView workbookViewId="0">
      <selection activeCell="B15" sqref="B15"/>
    </sheetView>
  </sheetViews>
  <sheetFormatPr defaultRowHeight="14.25"/>
  <cols>
    <col min="1" max="3" width="14" customWidth="1"/>
    <col min="4" max="4" width="3" customWidth="1"/>
    <col min="5" max="5" width="12" customWidth="1"/>
    <col min="6" max="7" width="14" customWidth="1"/>
    <col min="8" max="8" width="3" customWidth="1"/>
    <col min="9" max="9" width="14" customWidth="1"/>
    <col min="10" max="10" width="16" customWidth="1"/>
    <col min="11" max="12" width="3" customWidth="1"/>
  </cols>
  <sheetData>
    <row r="1" spans="1:12" ht="30" customHeight="1">
      <c r="A1" s="34" t="s">
        <v>94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1.95" customHeight="1">
      <c r="A2" s="28" t="s">
        <v>95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1.95" customHeight="1">
      <c r="A3" s="15"/>
      <c r="B3" s="16"/>
      <c r="C3" s="16"/>
      <c r="D3" s="15"/>
      <c r="E3" s="16"/>
      <c r="F3" s="16"/>
      <c r="G3" s="15"/>
      <c r="H3" s="16"/>
      <c r="I3" s="16"/>
      <c r="J3" s="15"/>
      <c r="K3" s="16"/>
      <c r="L3" s="16"/>
    </row>
    <row r="4" spans="1:12" ht="21.95" customHeight="1">
      <c r="A4" s="35" t="s">
        <v>33</v>
      </c>
      <c r="B4" s="35"/>
      <c r="C4" s="35"/>
      <c r="D4" s="35" t="s">
        <v>37</v>
      </c>
      <c r="E4" s="35"/>
      <c r="F4" s="35"/>
      <c r="G4" s="39" t="s">
        <v>44</v>
      </c>
      <c r="H4" s="39"/>
      <c r="I4" s="39"/>
      <c r="J4" s="41" t="s">
        <v>40</v>
      </c>
      <c r="K4" s="41"/>
      <c r="L4" s="41"/>
    </row>
    <row r="5" spans="1:12" ht="21.95" customHeight="1">
      <c r="A5" s="36">
        <f>KPIs!B4</f>
        <v>13498422.109999996</v>
      </c>
      <c r="B5" s="37"/>
      <c r="C5" s="37"/>
      <c r="D5" s="36">
        <f>KPIs!B6</f>
        <v>6108050.5499999989</v>
      </c>
      <c r="E5" s="37"/>
      <c r="F5" s="37"/>
      <c r="G5" s="40">
        <f>KPIs!B7</f>
        <v>0.47044914718033115</v>
      </c>
      <c r="H5" s="40"/>
      <c r="I5" s="40"/>
      <c r="J5" s="42">
        <f>KPIs!B8</f>
        <v>288</v>
      </c>
      <c r="K5" s="42"/>
      <c r="L5" s="42"/>
    </row>
    <row r="6" spans="1:12" ht="21.95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spans="1:12" ht="21.9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21.95" customHeight="1">
      <c r="A8" s="43" t="s">
        <v>96</v>
      </c>
      <c r="B8" s="43"/>
      <c r="C8" s="43"/>
      <c r="D8" s="8"/>
      <c r="E8" s="43" t="s">
        <v>97</v>
      </c>
      <c r="F8" s="43"/>
      <c r="G8" s="43"/>
      <c r="H8" s="8"/>
      <c r="I8" s="43" t="s">
        <v>98</v>
      </c>
      <c r="J8" s="43"/>
      <c r="K8" s="8"/>
      <c r="L8" s="8"/>
    </row>
    <row r="9" spans="1:12" ht="21.95" customHeight="1">
      <c r="A9" s="17" t="s">
        <v>25</v>
      </c>
      <c r="B9" s="18" t="s">
        <v>8</v>
      </c>
      <c r="C9" s="18" t="s">
        <v>27</v>
      </c>
      <c r="D9" s="8"/>
      <c r="E9" s="17" t="s">
        <v>2</v>
      </c>
      <c r="F9" s="18" t="s">
        <v>8</v>
      </c>
      <c r="G9" s="18" t="s">
        <v>27</v>
      </c>
      <c r="H9" s="8"/>
      <c r="I9" s="17" t="s">
        <v>99</v>
      </c>
      <c r="J9" s="18" t="s">
        <v>100</v>
      </c>
      <c r="K9" s="8"/>
      <c r="L9" s="8"/>
    </row>
    <row r="10" spans="1:12" ht="21.95" customHeight="1">
      <c r="A10" s="12" t="str">
        <f>Analysis!A4</f>
        <v>2024-01</v>
      </c>
      <c r="B10" s="19">
        <f>Analysis!B4</f>
        <v>719581.17999999993</v>
      </c>
      <c r="C10" s="19">
        <f>Analysis!C4</f>
        <v>319012.74</v>
      </c>
      <c r="D10" s="8"/>
      <c r="E10" s="12" t="str">
        <f>Analysis!E4</f>
        <v>UK</v>
      </c>
      <c r="F10" s="19">
        <f>Analysis!F4</f>
        <v>3652755.88</v>
      </c>
      <c r="G10" s="19">
        <f>Analysis!H4</f>
        <v>1651493.0299999998</v>
      </c>
      <c r="H10" s="8"/>
      <c r="I10" s="12" t="str">
        <f>Forecast!A28</f>
        <v>2026-01</v>
      </c>
      <c r="J10" s="19">
        <f>Forecast!B28</f>
        <v>0</v>
      </c>
      <c r="K10" s="8"/>
      <c r="L10" s="8"/>
    </row>
    <row r="11" spans="1:12" ht="21.95" customHeight="1">
      <c r="A11" s="13" t="str">
        <f>Analysis!A5</f>
        <v>2024-02</v>
      </c>
      <c r="B11" s="20">
        <f>Analysis!B5</f>
        <v>369294.8</v>
      </c>
      <c r="C11" s="20">
        <f>Analysis!C5</f>
        <v>178770.78999999998</v>
      </c>
      <c r="D11" s="8"/>
      <c r="E11" s="13" t="str">
        <f>Analysis!E5</f>
        <v>EU</v>
      </c>
      <c r="F11" s="20">
        <f>Analysis!F5</f>
        <v>3964741.7600000002</v>
      </c>
      <c r="G11" s="20">
        <f>Analysis!H5</f>
        <v>1794212.0799999998</v>
      </c>
      <c r="H11" s="8"/>
      <c r="I11" s="13" t="str">
        <f>Forecast!A29</f>
        <v>2026-02</v>
      </c>
      <c r="J11" s="20">
        <f>Forecast!B29</f>
        <v>0</v>
      </c>
      <c r="K11" s="8"/>
      <c r="L11" s="8"/>
    </row>
    <row r="12" spans="1:12" ht="21.95" customHeight="1">
      <c r="A12" s="12" t="str">
        <f>Analysis!A6</f>
        <v>2024-03</v>
      </c>
      <c r="B12" s="19">
        <f>Analysis!B6</f>
        <v>536659.86</v>
      </c>
      <c r="C12" s="19">
        <f>Analysis!C6</f>
        <v>251595.25000000009</v>
      </c>
      <c r="D12" s="8"/>
      <c r="E12" s="12" t="str">
        <f>Analysis!E6</f>
        <v>US</v>
      </c>
      <c r="F12" s="19">
        <f>Analysis!F6</f>
        <v>3324522.8300000005</v>
      </c>
      <c r="G12" s="19">
        <f>Analysis!H6</f>
        <v>1512023.5100000002</v>
      </c>
      <c r="H12" s="8"/>
      <c r="I12" s="12" t="str">
        <f>Forecast!A30</f>
        <v>2026-03</v>
      </c>
      <c r="J12" s="19">
        <f>Forecast!B30</f>
        <v>0</v>
      </c>
      <c r="K12" s="8"/>
      <c r="L12" s="8"/>
    </row>
    <row r="13" spans="1:12" ht="21.95" customHeight="1">
      <c r="A13" s="13" t="str">
        <f>Analysis!A7</f>
        <v>2024-04</v>
      </c>
      <c r="B13" s="20">
        <f>Analysis!B7</f>
        <v>387342.67</v>
      </c>
      <c r="C13" s="20">
        <f>Analysis!C7</f>
        <v>165307.96</v>
      </c>
      <c r="D13" s="8"/>
      <c r="E13" s="13" t="str">
        <f>Analysis!E7</f>
        <v>APAC</v>
      </c>
      <c r="F13" s="20">
        <f>Analysis!F7</f>
        <v>2556401.6399999992</v>
      </c>
      <c r="G13" s="20">
        <f>Analysis!H7</f>
        <v>1150321.93</v>
      </c>
      <c r="H13" s="8"/>
      <c r="I13" s="13" t="str">
        <f>Forecast!A31</f>
        <v>2026-04</v>
      </c>
      <c r="J13" s="20">
        <f>Forecast!B31</f>
        <v>0</v>
      </c>
      <c r="K13" s="8"/>
      <c r="L13" s="8"/>
    </row>
    <row r="14" spans="1:12" ht="21.95" customHeight="1">
      <c r="A14" s="12" t="str">
        <f>Analysis!A8</f>
        <v>2024-05</v>
      </c>
      <c r="B14" s="19">
        <f>Analysis!B8</f>
        <v>447343.82</v>
      </c>
      <c r="C14" s="19">
        <f>Analysis!C8</f>
        <v>196156.03999999998</v>
      </c>
      <c r="D14" s="8"/>
      <c r="E14" s="8"/>
      <c r="F14" s="8"/>
      <c r="G14" s="8"/>
      <c r="H14" s="8"/>
      <c r="I14" s="12" t="str">
        <f>Forecast!A32</f>
        <v>2026-05</v>
      </c>
      <c r="J14" s="19">
        <f>Forecast!B32</f>
        <v>0</v>
      </c>
      <c r="K14" s="8"/>
      <c r="L14" s="8"/>
    </row>
    <row r="15" spans="1:12" ht="21.95" customHeight="1">
      <c r="A15" s="13" t="str">
        <f>Analysis!A9</f>
        <v>2024-06</v>
      </c>
      <c r="B15" s="20">
        <f>Analysis!B9</f>
        <v>397700.41</v>
      </c>
      <c r="C15" s="20">
        <f>Analysis!C9</f>
        <v>179423.12000000002</v>
      </c>
      <c r="D15" s="8"/>
      <c r="E15" s="8"/>
      <c r="F15" s="8"/>
      <c r="G15" s="8"/>
      <c r="H15" s="8"/>
      <c r="I15" s="13" t="str">
        <f>Forecast!A33</f>
        <v>2026-06</v>
      </c>
      <c r="J15" s="20">
        <f>Forecast!B33</f>
        <v>0</v>
      </c>
      <c r="K15" s="8"/>
      <c r="L15" s="8"/>
    </row>
    <row r="16" spans="1:12" ht="21.95" customHeight="1">
      <c r="A16" s="12" t="str">
        <f>Analysis!A10</f>
        <v>2024-07</v>
      </c>
      <c r="B16" s="19">
        <f>Analysis!B10</f>
        <v>330833.76</v>
      </c>
      <c r="C16" s="19">
        <f>Analysis!C10</f>
        <v>156613.19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21.95" customHeight="1">
      <c r="A17" s="13" t="str">
        <f>Analysis!A11</f>
        <v>2024-08</v>
      </c>
      <c r="B17" s="20">
        <f>Analysis!B11</f>
        <v>451260.22000000003</v>
      </c>
      <c r="C17" s="20">
        <f>Analysis!C11</f>
        <v>163218.07999999999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21.95" customHeight="1">
      <c r="A18" s="12" t="str">
        <f>Analysis!A12</f>
        <v>2024-09</v>
      </c>
      <c r="B18" s="19">
        <f>Analysis!B12</f>
        <v>557545.49</v>
      </c>
      <c r="C18" s="19">
        <f>Analysis!C12</f>
        <v>254601.56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21.95" customHeight="1">
      <c r="A19" s="13" t="str">
        <f>Analysis!A13</f>
        <v>2024-10</v>
      </c>
      <c r="B19" s="20">
        <f>Analysis!B13</f>
        <v>531806.72000000009</v>
      </c>
      <c r="C19" s="20">
        <f>Analysis!C13</f>
        <v>239006.09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21.95" customHeight="1">
      <c r="A20" s="12" t="str">
        <f>Analysis!A14</f>
        <v>2024-11</v>
      </c>
      <c r="B20" s="19">
        <f>Analysis!B14</f>
        <v>386851.62</v>
      </c>
      <c r="C20" s="19">
        <f>Analysis!C14</f>
        <v>163526.22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21.95" customHeight="1">
      <c r="A21" s="13" t="str">
        <f>Analysis!A15</f>
        <v>2024-12</v>
      </c>
      <c r="B21" s="20">
        <f>Analysis!B15</f>
        <v>363049.29000000004</v>
      </c>
      <c r="C21" s="20">
        <f>Analysis!C15</f>
        <v>146658.93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21.9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21.9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21.9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</sheetData>
  <mergeCells count="13">
    <mergeCell ref="A8:C8"/>
    <mergeCell ref="E8:G8"/>
    <mergeCell ref="I8:J8"/>
    <mergeCell ref="A1:L1"/>
    <mergeCell ref="A2:L2"/>
    <mergeCell ref="A4:C4"/>
    <mergeCell ref="A5:C6"/>
    <mergeCell ref="D4:F4"/>
    <mergeCell ref="D5:F6"/>
    <mergeCell ref="G4:I4"/>
    <mergeCell ref="G5:I6"/>
    <mergeCell ref="J4:L4"/>
    <mergeCell ref="J5:L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>
      <selection activeCell="F1" sqref="F1"/>
    </sheetView>
  </sheetViews>
  <sheetFormatPr defaultRowHeight="14.25"/>
  <cols>
    <col min="3" max="3" width="11.75" bestFit="1" customWidth="1"/>
  </cols>
  <sheetData>
    <row r="1" spans="1:5" ht="15">
      <c r="A1" s="3" t="s">
        <v>16</v>
      </c>
      <c r="B1" s="3" t="s">
        <v>14</v>
      </c>
      <c r="C1" s="3" t="s">
        <v>12</v>
      </c>
      <c r="D1" s="3" t="s">
        <v>13</v>
      </c>
      <c r="E1" s="3" t="s">
        <v>101</v>
      </c>
    </row>
    <row r="2" spans="1:5">
      <c r="A2" t="s">
        <v>10</v>
      </c>
      <c r="B2" t="s">
        <v>23</v>
      </c>
      <c r="C2" t="s">
        <v>17</v>
      </c>
      <c r="D2" t="s">
        <v>15</v>
      </c>
      <c r="E2" t="s">
        <v>102</v>
      </c>
    </row>
    <row r="3" spans="1:5">
      <c r="A3" t="s">
        <v>22</v>
      </c>
      <c r="B3" t="s">
        <v>20</v>
      </c>
      <c r="C3" t="s">
        <v>21</v>
      </c>
      <c r="D3" t="s">
        <v>18</v>
      </c>
      <c r="E3" t="s">
        <v>103</v>
      </c>
    </row>
    <row r="4" spans="1:5">
      <c r="A4" t="s">
        <v>19</v>
      </c>
      <c r="B4" t="s">
        <v>11</v>
      </c>
      <c r="C4" t="s">
        <v>24</v>
      </c>
      <c r="E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Data_Cleaning</vt:lpstr>
      <vt:lpstr>KPIs</vt:lpstr>
      <vt:lpstr>Analysis</vt:lpstr>
      <vt:lpstr>Forecast</vt:lpstr>
      <vt:lpstr>Scenario_Model</vt:lpstr>
      <vt:lpstr>Dashboard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 Duong</cp:lastModifiedBy>
  <dcterms:created xsi:type="dcterms:W3CDTF">2026-04-17T21:22:30Z</dcterms:created>
  <dcterms:modified xsi:type="dcterms:W3CDTF">2026-04-17T21:22:30Z</dcterms:modified>
</cp:coreProperties>
</file>